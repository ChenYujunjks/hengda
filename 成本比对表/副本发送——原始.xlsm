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Summer 2024\hengda_py\成本比对表\"/>
    </mc:Choice>
  </mc:AlternateContent>
  <xr:revisionPtr revIDLastSave="0" documentId="8_{3656E654-EE37-4F5C-A725-D3B9781FD8D5}" xr6:coauthVersionLast="47" xr6:coauthVersionMax="47" xr10:uidLastSave="{00000000-0000-0000-0000-000000000000}"/>
  <bookViews>
    <workbookView xWindow="1900" yWindow="1800" windowWidth="23440" windowHeight="13480" xr2:uid="{00000000-000D-0000-FFFF-FFFF00000000}"/>
  </bookViews>
  <sheets>
    <sheet name="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8" i="1" l="1"/>
  <c r="B219" i="1"/>
  <c r="B220" i="1"/>
  <c r="C220" i="1" s="1"/>
  <c r="B221" i="1"/>
  <c r="B222" i="1"/>
  <c r="C222" i="1" s="1"/>
  <c r="B223" i="1"/>
  <c r="C223" i="1" s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C345" i="1" s="1"/>
  <c r="B346" i="1"/>
  <c r="B347" i="1"/>
  <c r="B348" i="1"/>
  <c r="B349" i="1"/>
  <c r="B350" i="1"/>
  <c r="C350" i="1" s="1"/>
  <c r="B351" i="1"/>
  <c r="C351" i="1" s="1"/>
  <c r="B352" i="1"/>
  <c r="B353" i="1"/>
  <c r="B354" i="1"/>
  <c r="B355" i="1"/>
  <c r="B356" i="1"/>
  <c r="B357" i="1"/>
  <c r="B358" i="1"/>
  <c r="B359" i="1"/>
  <c r="C359" i="1" s="1"/>
  <c r="B360" i="1"/>
  <c r="C360" i="1" s="1"/>
  <c r="B361" i="1"/>
  <c r="C361" i="1" s="1"/>
  <c r="C219" i="1"/>
  <c r="B212" i="1"/>
  <c r="B213" i="1"/>
  <c r="C213" i="1" s="1"/>
  <c r="B214" i="1"/>
  <c r="B215" i="1"/>
  <c r="C215" i="1" s="1"/>
  <c r="B216" i="1"/>
  <c r="C216" i="1" s="1"/>
  <c r="B217" i="1"/>
  <c r="C217" i="1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C211" i="1" s="1"/>
  <c r="C214" i="1"/>
  <c r="C221" i="1"/>
  <c r="B6" i="1"/>
  <c r="C60" i="1"/>
  <c r="C94" i="1"/>
  <c r="C346" i="1"/>
  <c r="C347" i="1"/>
  <c r="C348" i="1"/>
  <c r="C349" i="1"/>
  <c r="C352" i="1"/>
  <c r="C353" i="1"/>
  <c r="C354" i="1"/>
  <c r="C355" i="1"/>
  <c r="C356" i="1"/>
  <c r="C357" i="1"/>
  <c r="C358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303" i="1"/>
  <c r="C305" i="1" l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6" i="1"/>
  <c r="C7" i="1"/>
  <c r="C8" i="1"/>
  <c r="C9" i="1"/>
  <c r="C10" i="1"/>
  <c r="C11" i="1"/>
  <c r="A51" i="1"/>
  <c r="A80" i="1"/>
  <c r="A81" i="1"/>
  <c r="A82" i="1"/>
  <c r="A83" i="1"/>
  <c r="A84" i="1"/>
  <c r="A85" i="1"/>
  <c r="A86" i="1"/>
  <c r="A87" i="1"/>
  <c r="A94" i="1"/>
  <c r="A88" i="1"/>
  <c r="A215" i="1"/>
  <c r="A89" i="1"/>
  <c r="A95" i="1"/>
  <c r="A96" i="1"/>
  <c r="A97" i="1"/>
  <c r="A98" i="1"/>
  <c r="A99" i="1"/>
  <c r="A90" i="1"/>
  <c r="A92" i="1"/>
  <c r="A100" i="1"/>
  <c r="A91" i="1"/>
  <c r="A101" i="1"/>
  <c r="A102" i="1"/>
  <c r="A103" i="1"/>
  <c r="A104" i="1"/>
  <c r="A106" i="1"/>
  <c r="A107" i="1"/>
  <c r="A108" i="1"/>
  <c r="A109" i="1"/>
  <c r="A110" i="1"/>
  <c r="A111" i="1"/>
  <c r="A112" i="1"/>
  <c r="A113" i="1"/>
  <c r="A114" i="1"/>
  <c r="A115" i="1"/>
  <c r="A216" i="1"/>
  <c r="A217" i="1"/>
  <c r="A116" i="1"/>
  <c r="A117" i="1"/>
  <c r="A53" i="1"/>
  <c r="A218" i="1"/>
  <c r="A118" i="1"/>
  <c r="A119" i="1"/>
  <c r="A54" i="1"/>
  <c r="A120" i="1"/>
  <c r="A121" i="1"/>
  <c r="A122" i="1"/>
  <c r="A123" i="1"/>
  <c r="A124" i="1"/>
  <c r="A219" i="1"/>
  <c r="A125" i="1"/>
  <c r="A126" i="1"/>
  <c r="A127" i="1"/>
  <c r="A128" i="1"/>
  <c r="A129" i="1"/>
  <c r="A130" i="1"/>
  <c r="A220" i="1"/>
  <c r="A131" i="1"/>
  <c r="A132" i="1"/>
  <c r="A221" i="1"/>
  <c r="A133" i="1"/>
  <c r="A134" i="1"/>
  <c r="A135" i="1"/>
  <c r="A136" i="1"/>
  <c r="A137" i="1"/>
  <c r="A222" i="1"/>
  <c r="A223" i="1"/>
  <c r="A138" i="1"/>
  <c r="A139" i="1"/>
  <c r="A140" i="1"/>
  <c r="A141" i="1"/>
  <c r="A142" i="1"/>
  <c r="A143" i="1"/>
  <c r="A144" i="1"/>
  <c r="A145" i="1"/>
  <c r="A55" i="1"/>
  <c r="A56" i="1"/>
  <c r="A146" i="1"/>
  <c r="A147" i="1"/>
  <c r="A211" i="1"/>
  <c r="A148" i="1"/>
  <c r="A149" i="1"/>
  <c r="A57" i="1"/>
  <c r="A150" i="1"/>
  <c r="A151" i="1"/>
  <c r="A50" i="1"/>
  <c r="A152" i="1"/>
  <c r="A153" i="1"/>
  <c r="A154" i="1"/>
  <c r="A155" i="1"/>
  <c r="A156" i="1"/>
  <c r="A157" i="1"/>
  <c r="A158" i="1"/>
  <c r="A159" i="1"/>
  <c r="A212" i="1"/>
  <c r="A160" i="1"/>
  <c r="A161" i="1"/>
  <c r="A162" i="1"/>
  <c r="A163" i="1"/>
  <c r="A164" i="1"/>
  <c r="A165" i="1"/>
  <c r="A63" i="1"/>
  <c r="A166" i="1"/>
  <c r="A167" i="1"/>
  <c r="A64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65" i="1"/>
  <c r="A304" i="1"/>
  <c r="A66" i="1"/>
  <c r="A183" i="1"/>
  <c r="A184" i="1"/>
  <c r="A185" i="1"/>
  <c r="A186" i="1"/>
  <c r="A187" i="1"/>
  <c r="A188" i="1"/>
  <c r="A189" i="1"/>
  <c r="A190" i="1"/>
  <c r="A67" i="1"/>
  <c r="A68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69" i="1"/>
  <c r="A203" i="1"/>
  <c r="A204" i="1"/>
  <c r="A205" i="1"/>
  <c r="A206" i="1"/>
  <c r="A207" i="1"/>
  <c r="A208" i="1"/>
  <c r="A209" i="1"/>
  <c r="A210" i="1"/>
  <c r="A12" i="1"/>
  <c r="A70" i="1"/>
  <c r="A13" i="1"/>
  <c r="A58" i="1"/>
  <c r="A14" i="1"/>
  <c r="A71" i="1"/>
  <c r="A15" i="1"/>
  <c r="A16" i="1"/>
  <c r="A17" i="1"/>
  <c r="A18" i="1"/>
  <c r="A19" i="1"/>
  <c r="A20" i="1"/>
  <c r="A21" i="1"/>
  <c r="A22" i="1"/>
  <c r="A23" i="1"/>
  <c r="A24" i="1"/>
  <c r="A59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60" i="1"/>
  <c r="A49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61" i="1"/>
  <c r="A266" i="1"/>
  <c r="A267" i="1"/>
  <c r="A72" i="1"/>
  <c r="A73" i="1"/>
  <c r="A268" i="1"/>
  <c r="A62" i="1"/>
  <c r="A269" i="1"/>
  <c r="A270" i="1"/>
  <c r="A271" i="1"/>
  <c r="A272" i="1"/>
  <c r="A273" i="1"/>
  <c r="A274" i="1"/>
  <c r="A275" i="1"/>
  <c r="A74" i="1"/>
  <c r="A276" i="1"/>
  <c r="A277" i="1"/>
  <c r="A278" i="1"/>
  <c r="A213" i="1"/>
  <c r="A279" i="1"/>
  <c r="A280" i="1"/>
  <c r="A281" i="1"/>
  <c r="A282" i="1"/>
  <c r="A283" i="1"/>
  <c r="A284" i="1"/>
  <c r="A285" i="1"/>
  <c r="A286" i="1"/>
  <c r="A287" i="1"/>
  <c r="A75" i="1"/>
  <c r="A288" i="1"/>
  <c r="A289" i="1"/>
  <c r="A290" i="1"/>
  <c r="A291" i="1"/>
  <c r="A303" i="1"/>
  <c r="A292" i="1"/>
  <c r="A293" i="1"/>
  <c r="A214" i="1"/>
  <c r="A294" i="1"/>
  <c r="A295" i="1"/>
  <c r="A296" i="1"/>
  <c r="A76" i="1"/>
  <c r="A297" i="1"/>
  <c r="A298" i="1"/>
  <c r="A299" i="1"/>
  <c r="A300" i="1"/>
  <c r="A77" i="1"/>
  <c r="A301" i="1"/>
  <c r="A78" i="1"/>
  <c r="A302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6" i="1"/>
  <c r="A7" i="1"/>
  <c r="A8" i="1"/>
  <c r="A9" i="1"/>
  <c r="A10" i="1"/>
  <c r="A11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2" i="1"/>
  <c r="A93" i="1"/>
  <c r="A105" i="1"/>
  <c r="A79" i="1"/>
  <c r="Q2" i="1"/>
  <c r="P2" i="1"/>
  <c r="O2" i="1"/>
  <c r="M2" i="1"/>
  <c r="L2" i="1"/>
  <c r="C218" i="1" l="1"/>
  <c r="C282" i="1"/>
  <c r="C224" i="1"/>
  <c r="C191" i="1"/>
  <c r="C35" i="1"/>
  <c r="C180" i="1"/>
  <c r="C256" i="1"/>
  <c r="C20" i="1"/>
  <c r="C295" i="1"/>
  <c r="C240" i="1"/>
  <c r="C206" i="1"/>
  <c r="C144" i="1"/>
  <c r="C116" i="1"/>
  <c r="C121" i="1"/>
  <c r="C128" i="1"/>
  <c r="C134" i="1"/>
  <c r="C140" i="1"/>
  <c r="C146" i="1"/>
  <c r="C149" i="1"/>
  <c r="C292" i="1"/>
  <c r="C267" i="1"/>
  <c r="C252" i="1"/>
  <c r="C236" i="1"/>
  <c r="C47" i="1"/>
  <c r="C31" i="1"/>
  <c r="C16" i="1"/>
  <c r="C189" i="1"/>
  <c r="C176" i="1"/>
  <c r="C162" i="1"/>
  <c r="C131" i="1"/>
  <c r="C301" i="1"/>
  <c r="C289" i="1"/>
  <c r="C264" i="1"/>
  <c r="C248" i="1"/>
  <c r="C232" i="1"/>
  <c r="C43" i="1"/>
  <c r="C27" i="1"/>
  <c r="C199" i="1"/>
  <c r="C185" i="1"/>
  <c r="C172" i="1"/>
  <c r="C159" i="1"/>
  <c r="C118" i="1"/>
  <c r="C298" i="1"/>
  <c r="C286" i="1"/>
  <c r="C272" i="1"/>
  <c r="C260" i="1"/>
  <c r="C244" i="1"/>
  <c r="C228" i="1"/>
  <c r="C39" i="1"/>
  <c r="C24" i="1"/>
  <c r="C210" i="1"/>
  <c r="C195" i="1"/>
  <c r="C304" i="1"/>
  <c r="C168" i="1"/>
  <c r="C155" i="1"/>
  <c r="C297" i="1"/>
  <c r="C294" i="1"/>
  <c r="C288" i="1"/>
  <c r="C285" i="1"/>
  <c r="C281" i="1"/>
  <c r="C278" i="1"/>
  <c r="C275" i="1"/>
  <c r="C271" i="1"/>
  <c r="C268" i="1"/>
  <c r="C266" i="1"/>
  <c r="C263" i="1"/>
  <c r="C259" i="1"/>
  <c r="C255" i="1"/>
  <c r="C251" i="1"/>
  <c r="C247" i="1"/>
  <c r="C243" i="1"/>
  <c r="C239" i="1"/>
  <c r="C235" i="1"/>
  <c r="C231" i="1"/>
  <c r="C227" i="1"/>
  <c r="C49" i="1"/>
  <c r="C46" i="1"/>
  <c r="C42" i="1"/>
  <c r="C38" i="1"/>
  <c r="C34" i="1"/>
  <c r="C30" i="1"/>
  <c r="C26" i="1"/>
  <c r="C23" i="1"/>
  <c r="C19" i="1"/>
  <c r="C15" i="1"/>
  <c r="C13" i="1"/>
  <c r="C209" i="1"/>
  <c r="C205" i="1"/>
  <c r="C202" i="1"/>
  <c r="C198" i="1"/>
  <c r="C194" i="1"/>
  <c r="C188" i="1"/>
  <c r="C184" i="1"/>
  <c r="C179" i="1"/>
  <c r="C175" i="1"/>
  <c r="C171" i="1"/>
  <c r="C165" i="1"/>
  <c r="C161" i="1"/>
  <c r="C158" i="1"/>
  <c r="C154" i="1"/>
  <c r="C151" i="1"/>
  <c r="C148" i="1"/>
  <c r="C143" i="1"/>
  <c r="C139" i="1"/>
  <c r="C137" i="1"/>
  <c r="C133" i="1"/>
  <c r="C127" i="1"/>
  <c r="C124" i="1"/>
  <c r="C120" i="1"/>
  <c r="C302" i="1"/>
  <c r="C300" i="1"/>
  <c r="C291" i="1"/>
  <c r="C284" i="1"/>
  <c r="C280" i="1"/>
  <c r="C277" i="1"/>
  <c r="C274" i="1"/>
  <c r="C270" i="1"/>
  <c r="C262" i="1"/>
  <c r="C258" i="1"/>
  <c r="C254" i="1"/>
  <c r="C250" i="1"/>
  <c r="C246" i="1"/>
  <c r="C242" i="1"/>
  <c r="C238" i="1"/>
  <c r="C234" i="1"/>
  <c r="C230" i="1"/>
  <c r="C226" i="1"/>
  <c r="C45" i="1"/>
  <c r="C41" i="1"/>
  <c r="C37" i="1"/>
  <c r="C33" i="1"/>
  <c r="C29" i="1"/>
  <c r="C25" i="1"/>
  <c r="C22" i="1"/>
  <c r="C18" i="1"/>
  <c r="C208" i="1"/>
  <c r="C204" i="1"/>
  <c r="C201" i="1"/>
  <c r="C197" i="1"/>
  <c r="C193" i="1"/>
  <c r="C187" i="1"/>
  <c r="C183" i="1"/>
  <c r="C182" i="1"/>
  <c r="C178" i="1"/>
  <c r="C174" i="1"/>
  <c r="C170" i="1"/>
  <c r="C167" i="1"/>
  <c r="C164" i="1"/>
  <c r="C160" i="1"/>
  <c r="C157" i="1"/>
  <c r="C153" i="1"/>
  <c r="C150" i="1"/>
  <c r="C142" i="1"/>
  <c r="C138" i="1"/>
  <c r="C136" i="1"/>
  <c r="C130" i="1"/>
  <c r="C126" i="1"/>
  <c r="C123" i="1"/>
  <c r="C299" i="1"/>
  <c r="C296" i="1"/>
  <c r="C293" i="1"/>
  <c r="C290" i="1"/>
  <c r="C287" i="1"/>
  <c r="C283" i="1"/>
  <c r="C279" i="1"/>
  <c r="C276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48" i="1"/>
  <c r="C44" i="1"/>
  <c r="C40" i="1"/>
  <c r="C36" i="1"/>
  <c r="C32" i="1"/>
  <c r="C28" i="1"/>
  <c r="C21" i="1"/>
  <c r="C17" i="1"/>
  <c r="C14" i="1"/>
  <c r="C12" i="1"/>
  <c r="C207" i="1"/>
  <c r="C203" i="1"/>
  <c r="C200" i="1"/>
  <c r="C196" i="1"/>
  <c r="C192" i="1"/>
  <c r="C190" i="1"/>
  <c r="C186" i="1"/>
  <c r="C181" i="1"/>
  <c r="C177" i="1"/>
  <c r="C173" i="1"/>
  <c r="C169" i="1"/>
  <c r="C166" i="1"/>
  <c r="C163" i="1"/>
  <c r="C212" i="1"/>
  <c r="C156" i="1"/>
  <c r="C152" i="1"/>
  <c r="C147" i="1"/>
  <c r="C145" i="1"/>
  <c r="C141" i="1"/>
  <c r="C135" i="1"/>
  <c r="C132" i="1"/>
  <c r="C129" i="1"/>
  <c r="C125" i="1"/>
  <c r="C122" i="1"/>
  <c r="C119" i="1"/>
  <c r="C117" i="1"/>
  <c r="R2" i="1"/>
  <c r="N2" i="1"/>
</calcChain>
</file>

<file path=xl/sharedStrings.xml><?xml version="1.0" encoding="utf-8"?>
<sst xmlns="http://schemas.openxmlformats.org/spreadsheetml/2006/main" count="873" uniqueCount="209">
  <si>
    <t>辅助列</t>
  </si>
  <si>
    <t>序号</t>
    <phoneticPr fontId="5" type="noConversion"/>
  </si>
  <si>
    <t>开票日期</t>
  </si>
  <si>
    <t>发票号码</t>
  </si>
  <si>
    <t>客户名称</t>
  </si>
  <si>
    <t>货物名称</t>
  </si>
  <si>
    <t>型号</t>
  </si>
  <si>
    <t>备注软件名称</t>
  </si>
  <si>
    <t>本月所有开票金额</t>
  </si>
  <si>
    <t>单位成本</t>
  </si>
  <si>
    <t>硬件成本</t>
  </si>
  <si>
    <t>成本率</t>
  </si>
  <si>
    <t>毛利率</t>
  </si>
  <si>
    <t>数量</t>
  </si>
  <si>
    <t>不含税金额</t>
  </si>
  <si>
    <t>税额</t>
  </si>
  <si>
    <t>合计</t>
  </si>
  <si>
    <t>材料成本</t>
  </si>
  <si>
    <t>人工成本</t>
  </si>
  <si>
    <t>制造费用</t>
  </si>
  <si>
    <t>备注摘要</t>
  </si>
  <si>
    <t>成本/不含税金额</t>
    <phoneticPr fontId="5" type="noConversion"/>
  </si>
  <si>
    <r>
      <rPr>
        <b/>
        <sz val="12"/>
        <color theme="1"/>
        <rFont val="微软雅黑"/>
        <family val="2"/>
        <charset val="134"/>
      </rPr>
      <t xml:space="preserve">恒达富士电梯有限公司
</t>
    </r>
    <r>
      <rPr>
        <b/>
        <sz val="12"/>
        <color theme="1"/>
        <rFont val="Arial"/>
        <family val="2"/>
        <scheme val="minor"/>
      </rPr>
      <t>2024</t>
    </r>
    <r>
      <rPr>
        <b/>
        <sz val="12"/>
        <color theme="1"/>
        <rFont val="微软雅黑"/>
        <family val="2"/>
        <charset val="134"/>
      </rPr>
      <t>年</t>
    </r>
    <r>
      <rPr>
        <b/>
        <sz val="12"/>
        <color theme="1"/>
        <rFont val="Arial"/>
        <family val="2"/>
        <scheme val="minor"/>
      </rPr>
      <t>04</t>
    </r>
    <r>
      <rPr>
        <b/>
        <sz val="12"/>
        <color theme="1"/>
        <rFont val="微软雅黑"/>
        <family val="2"/>
        <charset val="134"/>
      </rPr>
      <t>月份嵌入式软件即征即退销售成本分配表</t>
    </r>
    <phoneticPr fontId="9" type="noConversion"/>
  </si>
  <si>
    <t>24332000000128059820</t>
  </si>
  <si>
    <t>安徽伏枥机电设备有限公司</t>
  </si>
  <si>
    <t>乘客电梯</t>
  </si>
  <si>
    <t>含：恒达富士乘客电梯变频控制软件V1.0</t>
  </si>
  <si>
    <t>24332000000128021665</t>
  </si>
  <si>
    <t>江苏臻瑞家具材料有限公司</t>
  </si>
  <si>
    <t>24332000000128372478-1</t>
  </si>
  <si>
    <t>华煜建设集团有限公司</t>
  </si>
  <si>
    <t>载货电梯</t>
  </si>
  <si>
    <t>含：恒达富士载货电梯变频控制软件V1.0</t>
  </si>
  <si>
    <t>24332000000128342688</t>
  </si>
  <si>
    <t>24332000000128207897</t>
  </si>
  <si>
    <t>桐乡市伟杰包装股份有限公司</t>
  </si>
  <si>
    <t>24332000000127924011-1</t>
  </si>
  <si>
    <t>杭州圣尚机电设备有限公司</t>
  </si>
  <si>
    <t>24332000000130857496</t>
  </si>
  <si>
    <t>丽水伯替克阀门有限公司</t>
  </si>
  <si>
    <t>24332000000139012397</t>
  </si>
  <si>
    <t>景然（上海）电梯有限公司</t>
  </si>
  <si>
    <t>24332000000129545157</t>
  </si>
  <si>
    <t>湖州昇通机电设备有限公司</t>
  </si>
  <si>
    <t>24332000000129546543</t>
  </si>
  <si>
    <t>24332000000139222067</t>
  </si>
  <si>
    <t>甘肃恒瑞电梯有限责任公司</t>
  </si>
  <si>
    <t>24332000000138753226</t>
  </si>
  <si>
    <t>河南昭开机电设备有限公司</t>
  </si>
  <si>
    <t>24332000000138776401</t>
  </si>
  <si>
    <t>无锡西继电梯有限公司</t>
  </si>
  <si>
    <t>24332000000138989133</t>
  </si>
  <si>
    <t>嘉兴市巨通电梯有限公司</t>
  </si>
  <si>
    <t>24332000000139040494</t>
  </si>
  <si>
    <t>24332000000140692070</t>
  </si>
  <si>
    <t>沈阳东祐电梯设备有限公司</t>
  </si>
  <si>
    <t>24332000000140602856</t>
  </si>
  <si>
    <t>24332000000140774910</t>
  </si>
  <si>
    <t>山东省福如日升建筑工程有限公司</t>
  </si>
  <si>
    <t>24332000000140764159</t>
  </si>
  <si>
    <t>河南豪邦电梯有限公司</t>
  </si>
  <si>
    <t>24332000000153115040</t>
  </si>
  <si>
    <t>圣奥（福建）电梯有限公司</t>
  </si>
  <si>
    <t>24332000000157551596</t>
  </si>
  <si>
    <t>山西金誉机电设备有限公司</t>
  </si>
  <si>
    <t>24332000000153163669</t>
  </si>
  <si>
    <t>24332000000150855035</t>
  </si>
  <si>
    <t>安徽现代电梯有限公司</t>
  </si>
  <si>
    <t>24332000000146178408</t>
  </si>
  <si>
    <t>浙江富技电梯有限公司</t>
  </si>
  <si>
    <t>24332000000150223707</t>
  </si>
  <si>
    <t>重庆更合机电有限公司</t>
  </si>
  <si>
    <t>24332000000150148734</t>
  </si>
  <si>
    <t>四川快奥机电设备有限公司</t>
  </si>
  <si>
    <t>24332000000150194975</t>
  </si>
  <si>
    <t>24332000000150157244</t>
  </si>
  <si>
    <t>24332000000152023838</t>
  </si>
  <si>
    <t>贵州中立共创商贸有限公司</t>
  </si>
  <si>
    <t>24332000000152022921</t>
  </si>
  <si>
    <t>江苏共赢致业电梯有限公司</t>
  </si>
  <si>
    <t>24332000000153104847</t>
  </si>
  <si>
    <t>义乌市泰达纺织有限公司</t>
  </si>
  <si>
    <t>24332000000146526974</t>
  </si>
  <si>
    <t>更上电梯工程（海南）有限公司</t>
  </si>
  <si>
    <t>24332000000150323196</t>
  </si>
  <si>
    <t>张家港市凤凰纺织辅料厂（普通合伙）</t>
  </si>
  <si>
    <t>24332000000151938412</t>
  </si>
  <si>
    <t>湖州帝莱森电梯有限公司</t>
  </si>
  <si>
    <t>24332000000140497583</t>
  </si>
  <si>
    <t>24332000000146215990</t>
  </si>
  <si>
    <t>沈阳鼎淳电梯有限公司</t>
  </si>
  <si>
    <t>24332000000157592913</t>
  </si>
  <si>
    <t>锡林郭勒盟磐谷电梯有限公司</t>
  </si>
  <si>
    <t>24332000000157513331</t>
  </si>
  <si>
    <t>葫芦岛市莱茵电梯有限公司</t>
  </si>
  <si>
    <t>24332000000157415024</t>
  </si>
  <si>
    <t>辽宁常宇电梯有限公司</t>
  </si>
  <si>
    <t>24332000000156212115</t>
  </si>
  <si>
    <t>中地海外集团有限公司</t>
  </si>
  <si>
    <t>自动扶梯</t>
  </si>
  <si>
    <t>含：恒达富士自动扶梯旁路变频控制软件V1.0</t>
  </si>
  <si>
    <t>24332000000157375680</t>
  </si>
  <si>
    <t>24332000000157631649</t>
  </si>
  <si>
    <t>喀什鼎兴电梯有限公司（新疆鼎兴电梯有限公司）</t>
  </si>
  <si>
    <t>24332000000153087398</t>
  </si>
  <si>
    <t>24332000000153077231</t>
  </si>
  <si>
    <t>24332000000159547150</t>
  </si>
  <si>
    <t>新疆三佳进出口贸易有限公司</t>
  </si>
  <si>
    <t>24332000000161465532</t>
  </si>
  <si>
    <t>24332000000157524607</t>
  </si>
  <si>
    <t>江苏嘉晟楼宇设备工程有限公司</t>
  </si>
  <si>
    <t>24332000000157593885</t>
  </si>
  <si>
    <t>24332000000159588942</t>
  </si>
  <si>
    <t>24332000000159613451</t>
  </si>
  <si>
    <t>黑龙江恒丰机电设备有限公司</t>
  </si>
  <si>
    <t>24332000000159624151</t>
  </si>
  <si>
    <t>24332000000159631606</t>
  </si>
  <si>
    <t>湖州市东迁建筑工程有限公司</t>
  </si>
  <si>
    <t>24332000000159632611</t>
  </si>
  <si>
    <t>四川江铭建设工程有限公司</t>
  </si>
  <si>
    <t>24332000000159673165</t>
  </si>
  <si>
    <t>24332000000159700841</t>
  </si>
  <si>
    <t>江苏久莱电梯有限公司</t>
  </si>
  <si>
    <t>24332000000160479542</t>
  </si>
  <si>
    <t>黄骅市鑫菱电梯工程有限公司</t>
  </si>
  <si>
    <t>24332000000158077246</t>
  </si>
  <si>
    <t>胡勇强</t>
  </si>
  <si>
    <t>24332000000158107373</t>
  </si>
  <si>
    <t>恒达富士电梯河北有限公司</t>
  </si>
  <si>
    <t>24332000000158158220</t>
  </si>
  <si>
    <t>浙江丽水周庆药品包装有限公司</t>
  </si>
  <si>
    <t>24332000000158508915</t>
  </si>
  <si>
    <t>安徽省庐江县鑫达民用风机制造有限公司</t>
  </si>
  <si>
    <t>24332000000158498015</t>
  </si>
  <si>
    <t>江苏友梯机电设备有限公司</t>
  </si>
  <si>
    <t>24332000000158165520</t>
  </si>
  <si>
    <t>上海艾柯福记电梯有限公司</t>
  </si>
  <si>
    <t>24332000000158519242</t>
  </si>
  <si>
    <t>长沙鑫盛电梯有限公司</t>
  </si>
  <si>
    <t>24332000000158528720</t>
  </si>
  <si>
    <t>安徽旭喆智能科技有限公司</t>
  </si>
  <si>
    <t>24332000000158536435</t>
  </si>
  <si>
    <t>义乌市双弘家居用品有限公司</t>
  </si>
  <si>
    <t>24332000000158539824</t>
  </si>
  <si>
    <t>南京威斯曼机电电梯工程有限公司</t>
  </si>
  <si>
    <t>24332000000158548470</t>
  </si>
  <si>
    <t>安徽邦强机电设备工程有限公司</t>
  </si>
  <si>
    <t>24332000000158567195</t>
  </si>
  <si>
    <t>安徽宏百机电工程有限公司</t>
  </si>
  <si>
    <t>24332000000158572867</t>
  </si>
  <si>
    <t>安徽鹏奥电梯有限公司</t>
  </si>
  <si>
    <t>24332000000158579021</t>
  </si>
  <si>
    <t>郑玲芳</t>
  </si>
  <si>
    <t>24332000000158599667</t>
  </si>
  <si>
    <t>河南辛安机电设备有限公司</t>
  </si>
  <si>
    <t>24332000000158618424</t>
  </si>
  <si>
    <t>上海纯煦电梯工程有限公司常州分公司</t>
  </si>
  <si>
    <t>24332000000158626972</t>
  </si>
  <si>
    <t>24332000000158641427</t>
  </si>
  <si>
    <t>河南安昌检验检测服务有限公司</t>
  </si>
  <si>
    <t>24332000000158651202</t>
  </si>
  <si>
    <t>商丘帝奥电梯有限公司</t>
  </si>
  <si>
    <t>24332000000158680342</t>
  </si>
  <si>
    <t>温州菱通楼宇设备有限公司</t>
  </si>
  <si>
    <t>24332000000158750342</t>
  </si>
  <si>
    <t>平顶山市惠友电梯销售有限公司</t>
  </si>
  <si>
    <t>24332000000158815733</t>
  </si>
  <si>
    <t>上海栗海电子有限公司</t>
  </si>
  <si>
    <t>24332000000158817642</t>
  </si>
  <si>
    <t>广西南宁浙富电梯有限公司</t>
  </si>
  <si>
    <t>24332000000158826282</t>
  </si>
  <si>
    <t>杭州福吉电梯有限公司</t>
  </si>
  <si>
    <t>24332000000158829728</t>
  </si>
  <si>
    <t>滨州市华亿电器设备有限公司</t>
  </si>
  <si>
    <t>24332000000158848081</t>
  </si>
  <si>
    <t>安徽工善电梯销售有限公司</t>
  </si>
  <si>
    <t>24332000000158898301</t>
  </si>
  <si>
    <t>徐州通汇电梯有限公司</t>
  </si>
  <si>
    <t>24332000000158971561</t>
  </si>
  <si>
    <t>24332000000159099275</t>
  </si>
  <si>
    <t>盐城欣维佳机电设备有限公司</t>
  </si>
  <si>
    <t>24332000000159131314</t>
  </si>
  <si>
    <t>金华市捷通电梯有限公司</t>
  </si>
  <si>
    <t>24332000000159151878</t>
  </si>
  <si>
    <t>24332000000159157839</t>
  </si>
  <si>
    <t>盐城逸泰电梯有限公司</t>
  </si>
  <si>
    <t>24332000000159168220</t>
  </si>
  <si>
    <t>福建闽宏纤维有限公司</t>
  </si>
  <si>
    <t>24332000000159173499</t>
  </si>
  <si>
    <t>湖州更上机电有限公司</t>
  </si>
  <si>
    <t>24332000000159206441</t>
  </si>
  <si>
    <t>河南立通电梯有限公司</t>
  </si>
  <si>
    <t>24332000000159224989</t>
  </si>
  <si>
    <t>浙江鼎兴机电科技有限公司</t>
  </si>
  <si>
    <t>24332000000159234705</t>
  </si>
  <si>
    <t>莆田安家电梯科技有限公司</t>
  </si>
  <si>
    <t>24332000000159235383</t>
  </si>
  <si>
    <t>24332000000159264945</t>
  </si>
  <si>
    <t>河南优迈电梯有限公司</t>
  </si>
  <si>
    <t>24332000000159284649</t>
  </si>
  <si>
    <t>商丘市顺达电梯销售有限公司</t>
  </si>
  <si>
    <t>24332000000159294285</t>
  </si>
  <si>
    <t>南浔垂虹酒店（个体工商户）</t>
  </si>
  <si>
    <t>24332000000159295366</t>
  </si>
  <si>
    <t>长治市振邦电梯销售有限公司</t>
  </si>
  <si>
    <t>24332000000159295621</t>
  </si>
  <si>
    <t>武汉精工电梯工程有限公司</t>
  </si>
  <si>
    <t>24332000000159569781</t>
  </si>
  <si>
    <t>山东省一路向前数字科技有限公司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</si>
</sst>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%"/>
    <numFmt numFmtId="177" formatCode="#,##0.00_ "/>
  </numFmts>
  <fonts count="27">
    <font>
      <sz val="10"/>
      <color rgb="FF000000"/>
      <name val="Arial"/>
      <scheme val="minor"/>
    </font>
    <font>
      <b/>
      <sz val="9"/>
      <color theme="1"/>
      <name val="SimSun"/>
      <charset val="134"/>
    </font>
    <font>
      <sz val="10"/>
      <name val="Arial"/>
      <family val="2"/>
    </font>
    <font>
      <sz val="12"/>
      <color theme="1"/>
      <name val="Calibri"/>
      <family val="2"/>
    </font>
    <font>
      <sz val="10"/>
      <color theme="1"/>
      <name val="Arial"/>
      <family val="2"/>
      <scheme val="minor"/>
    </font>
    <font>
      <sz val="9"/>
      <name val="Arial"/>
      <family val="3"/>
      <charset val="134"/>
      <scheme val="minor"/>
    </font>
    <font>
      <b/>
      <i/>
      <sz val="10"/>
      <color rgb="FF38761D"/>
      <name val="SimSun"/>
      <charset val="134"/>
    </font>
    <font>
      <b/>
      <i/>
      <sz val="10"/>
      <name val="Arial"/>
      <family val="2"/>
    </font>
    <font>
      <sz val="10"/>
      <color rgb="FF000000"/>
      <name val="Arial"/>
      <family val="2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1"/>
      <name val="Arial"/>
      <family val="3"/>
      <charset val="134"/>
      <scheme val="minor"/>
    </font>
    <font>
      <sz val="10"/>
      <name val="Arial"/>
      <family val="3"/>
      <charset val="134"/>
      <scheme val="minor"/>
    </font>
    <font>
      <b/>
      <sz val="10"/>
      <name val="Arial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2"/>
      <name val="宋体"/>
      <family val="3"/>
      <charset val="134"/>
    </font>
    <font>
      <b/>
      <sz val="9"/>
      <name val="宋体"/>
      <family val="3"/>
      <charset val="134"/>
    </font>
    <font>
      <b/>
      <sz val="12"/>
      <color theme="1"/>
      <name val="Arial"/>
      <family val="3"/>
      <charset val="134"/>
      <scheme val="minor"/>
    </font>
    <font>
      <b/>
      <sz val="10"/>
      <name val="SimSun"/>
      <charset val="134"/>
    </font>
    <font>
      <b/>
      <sz val="12"/>
      <color theme="1"/>
      <name val="微软雅黑"/>
      <family val="2"/>
      <charset val="134"/>
    </font>
    <font>
      <b/>
      <sz val="12"/>
      <color theme="1"/>
      <name val="Arial"/>
      <family val="2"/>
      <charset val="134"/>
      <scheme val="minor"/>
    </font>
    <font>
      <b/>
      <sz val="12"/>
      <color theme="1"/>
      <name val="Arial"/>
      <family val="2"/>
      <scheme val="minor"/>
    </font>
    <font>
      <sz val="11"/>
      <name val="Arial"/>
      <family val="3"/>
      <charset val="134"/>
      <scheme val="minor"/>
    </font>
    <font>
      <sz val="11"/>
      <color theme="1"/>
      <name val="Arial"/>
      <family val="3"/>
      <charset val="134"/>
      <scheme val="minor"/>
    </font>
    <font>
      <sz val="9"/>
      <color theme="1"/>
      <name val="Arial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/>
      <bottom/>
      <diagonal/>
    </border>
  </borders>
  <cellStyleXfs count="3">
    <xf numFmtId="0" fontId="0" fillId="0" borderId="0"/>
    <xf numFmtId="43" fontId="8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80">
    <xf numFmtId="0" fontId="0" fillId="0" borderId="0" xfId="0"/>
    <xf numFmtId="0" fontId="3" fillId="2" borderId="0" xfId="0" applyFont="1" applyFill="1"/>
    <xf numFmtId="0" fontId="4" fillId="0" borderId="0" xfId="0" applyFont="1"/>
    <xf numFmtId="0" fontId="0" fillId="3" borderId="0" xfId="0" applyFill="1" applyAlignment="1">
      <alignment vertical="center"/>
    </xf>
    <xf numFmtId="0" fontId="11" fillId="3" borderId="5" xfId="2" applyFont="1" applyFill="1" applyBorder="1" applyAlignment="1">
      <alignment horizontal="center" vertical="center"/>
    </xf>
    <xf numFmtId="43" fontId="13" fillId="3" borderId="5" xfId="1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43" fontId="11" fillId="3" borderId="5" xfId="1" applyFont="1" applyFill="1" applyBorder="1" applyAlignment="1">
      <alignment vertical="center"/>
    </xf>
    <xf numFmtId="43" fontId="11" fillId="3" borderId="5" xfId="1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0" borderId="5" xfId="0" applyFont="1" applyBorder="1" applyAlignment="1">
      <alignment horizontal="center" vertical="center"/>
    </xf>
    <xf numFmtId="43" fontId="15" fillId="0" borderId="5" xfId="1" applyFont="1" applyBorder="1" applyAlignment="1">
      <alignment horizontal="center" vertical="center"/>
    </xf>
    <xf numFmtId="43" fontId="15" fillId="0" borderId="5" xfId="1" applyFont="1" applyBorder="1">
      <alignment vertical="center"/>
    </xf>
    <xf numFmtId="176" fontId="0" fillId="3" borderId="5" xfId="0" applyNumberFormat="1" applyFill="1" applyBorder="1" applyAlignment="1">
      <alignment horizontal="center" vertical="center"/>
    </xf>
    <xf numFmtId="10" fontId="0" fillId="3" borderId="5" xfId="0" applyNumberFormat="1" applyFill="1" applyBorder="1" applyAlignment="1">
      <alignment horizontal="center" vertical="center"/>
    </xf>
    <xf numFmtId="43" fontId="0" fillId="3" borderId="0" xfId="0" applyNumberFormat="1" applyFill="1" applyAlignment="1">
      <alignment vertical="center"/>
    </xf>
    <xf numFmtId="177" fontId="15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17" fillId="4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vertical="center"/>
    </xf>
    <xf numFmtId="0" fontId="17" fillId="4" borderId="5" xfId="0" applyFont="1" applyFill="1" applyBorder="1" applyAlignment="1">
      <alignment vertical="center"/>
    </xf>
    <xf numFmtId="43" fontId="11" fillId="4" borderId="5" xfId="0" applyNumberFormat="1" applyFont="1" applyFill="1" applyBorder="1" applyAlignment="1">
      <alignment vertical="center" shrinkToFit="1"/>
    </xf>
    <xf numFmtId="43" fontId="11" fillId="4" borderId="5" xfId="0" applyNumberFormat="1" applyFont="1" applyFill="1" applyBorder="1" applyAlignment="1">
      <alignment horizontal="right" vertical="center" shrinkToFit="1"/>
    </xf>
    <xf numFmtId="43" fontId="4" fillId="0" borderId="0" xfId="0" applyNumberFormat="1" applyFont="1"/>
    <xf numFmtId="14" fontId="16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43" fontId="15" fillId="0" borderId="0" xfId="1" applyFont="1" applyBorder="1">
      <alignment vertical="center"/>
    </xf>
    <xf numFmtId="43" fontId="15" fillId="0" borderId="0" xfId="1" applyFont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177" fontId="16" fillId="0" borderId="0" xfId="2" applyNumberFormat="1" applyFont="1">
      <alignment vertical="center"/>
    </xf>
    <xf numFmtId="43" fontId="15" fillId="0" borderId="0" xfId="1" applyFont="1" applyBorder="1" applyAlignment="1">
      <alignment vertical="center"/>
    </xf>
    <xf numFmtId="43" fontId="13" fillId="3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3" borderId="5" xfId="0" applyFont="1" applyFill="1" applyBorder="1" applyAlignment="1">
      <alignment horizontal="center" vertical="center"/>
    </xf>
    <xf numFmtId="14" fontId="16" fillId="0" borderId="9" xfId="0" quotePrefix="1" applyNumberFormat="1" applyFont="1" applyBorder="1" applyAlignment="1">
      <alignment horizontal="center" vertical="center"/>
    </xf>
    <xf numFmtId="0" fontId="4" fillId="0" borderId="5" xfId="0" applyFont="1" applyBorder="1"/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43" fontId="13" fillId="3" borderId="5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2" fillId="0" borderId="4" xfId="0" applyFont="1" applyBorder="1"/>
    <xf numFmtId="0" fontId="1" fillId="2" borderId="2" xfId="0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0" fontId="7" fillId="0" borderId="3" xfId="0" applyFont="1" applyBorder="1"/>
    <xf numFmtId="0" fontId="11" fillId="3" borderId="5" xfId="2" applyFont="1" applyFill="1" applyBorder="1" applyAlignment="1">
      <alignment horizontal="center" vertical="center"/>
    </xf>
    <xf numFmtId="0" fontId="11" fillId="3" borderId="5" xfId="2" applyFont="1" applyFill="1" applyBorder="1" applyAlignment="1">
      <alignment horizontal="center" vertical="center" shrinkToFit="1"/>
    </xf>
    <xf numFmtId="0" fontId="12" fillId="3" borderId="5" xfId="0" applyFont="1" applyFill="1" applyBorder="1" applyAlignment="1">
      <alignment horizontal="center" vertical="center"/>
    </xf>
    <xf numFmtId="176" fontId="15" fillId="3" borderId="6" xfId="0" applyNumberFormat="1" applyFont="1" applyFill="1" applyBorder="1" applyAlignment="1">
      <alignment horizontal="center" vertical="center"/>
    </xf>
    <xf numFmtId="176" fontId="15" fillId="3" borderId="7" xfId="0" applyNumberFormat="1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43" fontId="19" fillId="3" borderId="6" xfId="1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0" fontId="20" fillId="2" borderId="11" xfId="0" applyFont="1" applyFill="1" applyBorder="1" applyAlignment="1">
      <alignment horizontal="center" vertical="center"/>
    </xf>
    <xf numFmtId="43" fontId="14" fillId="3" borderId="5" xfId="1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/>
    </xf>
    <xf numFmtId="0" fontId="25" fillId="0" borderId="5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43" fontId="15" fillId="0" borderId="5" xfId="1" applyFont="1" applyFill="1" applyBorder="1">
      <alignment vertical="center"/>
    </xf>
    <xf numFmtId="177" fontId="15" fillId="0" borderId="5" xfId="0" applyNumberFormat="1" applyFont="1" applyBorder="1" applyAlignment="1">
      <alignment vertical="center"/>
    </xf>
    <xf numFmtId="0" fontId="0" fillId="0" borderId="5" xfId="0" applyBorder="1"/>
    <xf numFmtId="0" fontId="0" fillId="3" borderId="0" xfId="0" applyFill="1" applyBorder="1" applyAlignment="1">
      <alignment vertical="center"/>
    </xf>
    <xf numFmtId="176" fontId="0" fillId="3" borderId="0" xfId="0" applyNumberFormat="1" applyFill="1" applyBorder="1" applyAlignment="1">
      <alignment horizontal="center" vertical="center"/>
    </xf>
    <xf numFmtId="10" fontId="0" fillId="3" borderId="0" xfId="0" applyNumberFormat="1" applyFill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9" fillId="0" borderId="0" xfId="0" applyFont="1" applyBorder="1" applyAlignment="1">
      <alignment vertical="center"/>
    </xf>
    <xf numFmtId="0" fontId="25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3" fontId="15" fillId="0" borderId="0" xfId="1" applyFont="1" applyFill="1" applyBorder="1">
      <alignment vertical="center"/>
    </xf>
    <xf numFmtId="0" fontId="4" fillId="0" borderId="0" xfId="0" applyFont="1" applyBorder="1"/>
    <xf numFmtId="14" fontId="16" fillId="0" borderId="0" xfId="0" quotePrefix="1" applyNumberFormat="1" applyFont="1" applyBorder="1" applyAlignment="1">
      <alignment horizontal="center" vertical="center"/>
    </xf>
    <xf numFmtId="177" fontId="15" fillId="0" borderId="0" xfId="0" applyNumberFormat="1" applyFont="1" applyBorder="1" applyAlignment="1">
      <alignment horizontal="center" vertical="center"/>
    </xf>
  </cellXfs>
  <cellStyles count="3">
    <cellStyle name="常规" xfId="0" builtinId="0"/>
    <cellStyle name="常规 2" xfId="2" xr:uid="{BA36B600-ED24-4B55-8AD1-4D151D9E4E98}"/>
    <cellStyle name="千位分隔" xfId="1" builtinId="3"/>
  </cellStyles>
  <dxfs count="14">
    <dxf>
      <fill>
        <patternFill patternType="solid">
          <fgColor rgb="FFF4CCCC"/>
          <bgColor rgb="FFF4CCCC"/>
        </patternFill>
      </fill>
    </dxf>
    <dxf>
      <fill>
        <patternFill>
          <bgColor theme="7" tint="0.5999633777886288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>
          <bgColor theme="7" tint="0.5999633777886288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>
          <bgColor theme="7" tint="0.5999633777886288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2:BK507"/>
  <sheetViews>
    <sheetView tabSelected="1" workbookViewId="0">
      <selection activeCell="B22" sqref="B22"/>
    </sheetView>
  </sheetViews>
  <sheetFormatPr defaultColWidth="12.6328125" defaultRowHeight="14.4" customHeight="1"/>
  <cols>
    <col min="1" max="1" width="4.36328125" customWidth="1"/>
    <col min="3" max="3" width="12" customWidth="1"/>
    <col min="4" max="4" width="6.1796875" customWidth="1"/>
    <col min="5" max="5" width="29.1796875" customWidth="1"/>
    <col min="7" max="7" width="24.1796875" customWidth="1"/>
    <col min="8" max="8" width="18.36328125" customWidth="1"/>
    <col min="9" max="9" width="6.54296875" customWidth="1"/>
    <col min="10" max="10" width="35.453125" customWidth="1"/>
    <col min="11" max="11" width="7.08984375" customWidth="1"/>
    <col min="12" max="12" width="16.453125" customWidth="1"/>
    <col min="14" max="14" width="16.54296875" customWidth="1"/>
    <col min="15" max="15" width="16.81640625" customWidth="1"/>
    <col min="18" max="18" width="15.1796875" customWidth="1"/>
  </cols>
  <sheetData>
    <row r="2" spans="1:63" ht="14.4" customHeight="1">
      <c r="E2" s="39" t="s">
        <v>16</v>
      </c>
      <c r="F2" s="40"/>
      <c r="G2" s="19"/>
      <c r="H2" s="18"/>
      <c r="I2" s="20"/>
      <c r="J2" s="20"/>
      <c r="K2" s="20"/>
      <c r="L2" s="21" t="e">
        <f>SUM(#REF!)</f>
        <v>#REF!</v>
      </c>
      <c r="M2" s="21">
        <f>SUM(M161:M242)</f>
        <v>492695.40999999986</v>
      </c>
      <c r="N2" s="22">
        <f>SUM(N161:N242)</f>
        <v>4282660</v>
      </c>
      <c r="O2" s="22">
        <f>SUM(O161:O242)</f>
        <v>2795887.2500000005</v>
      </c>
      <c r="P2" s="22">
        <f>SUM(P161:P242)</f>
        <v>68338.169999999984</v>
      </c>
      <c r="Q2" s="22">
        <f>SUM(Q161:Q242)</f>
        <v>77301.570000000022</v>
      </c>
      <c r="R2" s="22">
        <f>SUM(R161:R242)</f>
        <v>2941526.99</v>
      </c>
      <c r="S2" s="3"/>
      <c r="T2" s="3"/>
      <c r="U2" s="3"/>
      <c r="V2" s="3"/>
    </row>
    <row r="3" spans="1:63" s="35" customFormat="1" ht="14.4" customHeight="1">
      <c r="A3" s="55" t="s">
        <v>22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  <c r="N3" s="57"/>
      <c r="O3" s="57"/>
      <c r="P3" s="58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63" ht="14.4" customHeight="1">
      <c r="A4" s="42" t="s">
        <v>1</v>
      </c>
      <c r="B4" s="44" t="s">
        <v>21</v>
      </c>
      <c r="C4" s="46" t="s">
        <v>0</v>
      </c>
      <c r="D4" s="59" t="s">
        <v>1</v>
      </c>
      <c r="E4" s="48" t="s">
        <v>2</v>
      </c>
      <c r="F4" s="48" t="s">
        <v>3</v>
      </c>
      <c r="G4" s="49" t="s">
        <v>4</v>
      </c>
      <c r="H4" s="49" t="s">
        <v>5</v>
      </c>
      <c r="I4" s="49" t="s">
        <v>6</v>
      </c>
      <c r="J4" s="49" t="s">
        <v>7</v>
      </c>
      <c r="K4" s="50" t="s">
        <v>8</v>
      </c>
      <c r="L4" s="50"/>
      <c r="M4" s="50"/>
      <c r="N4" s="50"/>
      <c r="O4" s="41" t="s">
        <v>9</v>
      </c>
      <c r="P4" s="41"/>
      <c r="Q4" s="41"/>
      <c r="R4" s="61" t="s">
        <v>10</v>
      </c>
      <c r="S4" s="6"/>
      <c r="T4" s="51" t="s">
        <v>11</v>
      </c>
      <c r="U4" s="53" t="s">
        <v>12</v>
      </c>
      <c r="V4" s="3"/>
      <c r="W4" s="1"/>
      <c r="X4" s="1"/>
      <c r="Y4" s="1"/>
      <c r="Z4" s="1"/>
      <c r="AA4" s="1"/>
      <c r="AB4" s="1"/>
      <c r="AC4" s="1"/>
      <c r="AD4" s="1"/>
    </row>
    <row r="5" spans="1:63" ht="14.4" customHeight="1">
      <c r="A5" s="43"/>
      <c r="B5" s="45"/>
      <c r="C5" s="47"/>
      <c r="D5" s="60"/>
      <c r="E5" s="48"/>
      <c r="F5" s="48"/>
      <c r="G5" s="49"/>
      <c r="H5" s="49"/>
      <c r="I5" s="49"/>
      <c r="J5" s="49"/>
      <c r="K5" s="4" t="s">
        <v>13</v>
      </c>
      <c r="L5" s="7" t="s">
        <v>14</v>
      </c>
      <c r="M5" s="7" t="s">
        <v>15</v>
      </c>
      <c r="N5" s="8" t="s">
        <v>16</v>
      </c>
      <c r="O5" s="5" t="s">
        <v>17</v>
      </c>
      <c r="P5" s="5" t="s">
        <v>18</v>
      </c>
      <c r="Q5" s="5" t="s">
        <v>19</v>
      </c>
      <c r="R5" s="61"/>
      <c r="S5" s="36" t="s">
        <v>20</v>
      </c>
      <c r="T5" s="52"/>
      <c r="U5" s="54"/>
      <c r="V5" s="9"/>
      <c r="W5" s="1"/>
      <c r="X5" s="1"/>
      <c r="Y5" s="1"/>
      <c r="Z5" s="1"/>
      <c r="AA5" s="1"/>
      <c r="AB5" s="1"/>
      <c r="AC5" s="1"/>
      <c r="AD5" s="1"/>
    </row>
    <row r="6" spans="1:63" ht="14.4" customHeight="1">
      <c r="A6" s="2">
        <f>ROW()-4</f>
        <v>2</v>
      </c>
      <c r="B6" s="23">
        <f>R6/L6</f>
        <v>0.76336744353554375</v>
      </c>
      <c r="C6" s="2">
        <f>IF(ISBLANK($B6),-1,IFERROR(IF($B6&gt;0.9,2,IF($B6&lt;0.3,1,0)),-1))</f>
        <v>0</v>
      </c>
      <c r="D6" s="38"/>
      <c r="E6" s="37"/>
      <c r="F6" s="62" t="s">
        <v>23</v>
      </c>
      <c r="G6" s="17" t="s">
        <v>24</v>
      </c>
      <c r="H6" s="25"/>
      <c r="I6" s="63" t="s">
        <v>25</v>
      </c>
      <c r="J6" s="64" t="s">
        <v>26</v>
      </c>
      <c r="K6" s="10">
        <v>1</v>
      </c>
      <c r="L6" s="65">
        <v>54867.26</v>
      </c>
      <c r="M6" s="65">
        <v>7132.74</v>
      </c>
      <c r="N6" s="65">
        <v>62000</v>
      </c>
      <c r="O6" s="66">
        <v>39592.269999999997</v>
      </c>
      <c r="P6" s="65">
        <v>1367.85</v>
      </c>
      <c r="Q6" s="65">
        <v>923.76</v>
      </c>
      <c r="R6" s="65">
        <v>41883.879999999997</v>
      </c>
    </row>
    <row r="7" spans="1:63" ht="14.4" customHeight="1">
      <c r="A7" s="2">
        <f>ROW()-4</f>
        <v>3</v>
      </c>
      <c r="B7" s="23">
        <f>R7/L7</f>
        <v>0.76841904779262682</v>
      </c>
      <c r="C7" s="2">
        <f>IF(ISBLANK($B7),-1,IFERROR(IF($B7&gt;0.9,2,IF($B7&lt;0.3,1,0)),-1))</f>
        <v>0</v>
      </c>
      <c r="D7" s="38"/>
      <c r="E7" s="37"/>
      <c r="F7" s="62" t="s">
        <v>23</v>
      </c>
      <c r="G7" s="17" t="s">
        <v>24</v>
      </c>
      <c r="H7" s="25"/>
      <c r="I7" s="63" t="s">
        <v>25</v>
      </c>
      <c r="J7" s="64" t="s">
        <v>26</v>
      </c>
      <c r="K7" s="10">
        <v>1</v>
      </c>
      <c r="L7" s="65">
        <v>54867.25</v>
      </c>
      <c r="M7" s="65">
        <v>7132.75</v>
      </c>
      <c r="N7" s="65">
        <v>62000</v>
      </c>
      <c r="O7" s="66">
        <v>39860.6</v>
      </c>
      <c r="P7" s="65">
        <v>1367.85</v>
      </c>
      <c r="Q7" s="65">
        <v>932.59</v>
      </c>
      <c r="R7" s="65">
        <v>42161.04</v>
      </c>
    </row>
    <row r="8" spans="1:63" ht="14.4" customHeight="1">
      <c r="A8" s="2">
        <f>ROW()-4</f>
        <v>4</v>
      </c>
      <c r="B8" s="23">
        <f>R8/L8</f>
        <v>0.58013257528724005</v>
      </c>
      <c r="C8" s="2">
        <f>IF(ISBLANK($B8),-1,IFERROR(IF($B8&gt;0.9,2,IF($B8&lt;0.3,1,0)),-1))</f>
        <v>0</v>
      </c>
      <c r="D8" s="38"/>
      <c r="E8" s="37"/>
      <c r="F8" s="62" t="s">
        <v>27</v>
      </c>
      <c r="G8" s="17" t="s">
        <v>28</v>
      </c>
      <c r="H8" s="25"/>
      <c r="I8" s="63" t="s">
        <v>25</v>
      </c>
      <c r="J8" s="64" t="s">
        <v>26</v>
      </c>
      <c r="K8" s="10">
        <v>1</v>
      </c>
      <c r="L8" s="65">
        <v>76106.19</v>
      </c>
      <c r="M8" s="65">
        <v>9893.81</v>
      </c>
      <c r="N8" s="65">
        <v>86000</v>
      </c>
      <c r="O8" s="66">
        <v>41738.07</v>
      </c>
      <c r="P8" s="65">
        <v>1155.29</v>
      </c>
      <c r="Q8" s="65">
        <v>1258.32</v>
      </c>
      <c r="R8" s="65">
        <v>44151.68</v>
      </c>
    </row>
    <row r="9" spans="1:63" ht="14.4" customHeight="1">
      <c r="A9" s="2">
        <f>ROW()-4</f>
        <v>5</v>
      </c>
      <c r="B9" s="23">
        <f>R9/L9</f>
        <v>0.77983767006394877</v>
      </c>
      <c r="C9" s="2">
        <f>IF(ISBLANK($B9),-1,IFERROR(IF($B9&gt;0.9,2,IF($B9&lt;0.3,1,0)),-1))</f>
        <v>0</v>
      </c>
      <c r="D9" s="38"/>
      <c r="E9" s="37"/>
      <c r="F9" s="62" t="s">
        <v>29</v>
      </c>
      <c r="G9" s="17" t="s">
        <v>30</v>
      </c>
      <c r="H9" s="25"/>
      <c r="I9" s="63" t="s">
        <v>31</v>
      </c>
      <c r="J9" s="64" t="s">
        <v>32</v>
      </c>
      <c r="K9" s="10">
        <v>1</v>
      </c>
      <c r="L9" s="65">
        <v>119469.03</v>
      </c>
      <c r="M9" s="65">
        <v>15530.97</v>
      </c>
      <c r="N9" s="65">
        <v>135000</v>
      </c>
      <c r="O9" s="66">
        <v>90087.07</v>
      </c>
      <c r="P9" s="65">
        <v>1329.1</v>
      </c>
      <c r="Q9" s="65">
        <v>1750.28</v>
      </c>
      <c r="R9" s="65">
        <v>93166.45</v>
      </c>
    </row>
    <row r="10" spans="1:63" ht="14.4" customHeight="1">
      <c r="A10" s="2">
        <f>ROW()-4</f>
        <v>6</v>
      </c>
      <c r="B10" s="23">
        <f>R10/L10</f>
        <v>0.7803860130110708</v>
      </c>
      <c r="C10" s="2">
        <f>IF(ISBLANK($B10),-1,IFERROR(IF($B10&gt;0.9,2,IF($B10&lt;0.3,1,0)),-1))</f>
        <v>0</v>
      </c>
      <c r="D10" s="38"/>
      <c r="E10" s="37"/>
      <c r="F10" s="62" t="s">
        <v>29</v>
      </c>
      <c r="G10" s="17" t="s">
        <v>30</v>
      </c>
      <c r="H10" s="25"/>
      <c r="I10" s="63" t="s">
        <v>31</v>
      </c>
      <c r="J10" s="64" t="s">
        <v>32</v>
      </c>
      <c r="K10" s="10">
        <v>1</v>
      </c>
      <c r="L10" s="65">
        <v>119469.03</v>
      </c>
      <c r="M10" s="65">
        <v>15530.97</v>
      </c>
      <c r="N10" s="65">
        <v>135000</v>
      </c>
      <c r="O10" s="66">
        <v>90149.56</v>
      </c>
      <c r="P10" s="65">
        <v>1329.1</v>
      </c>
      <c r="Q10" s="65">
        <v>1753.3</v>
      </c>
      <c r="R10" s="65">
        <v>93231.96</v>
      </c>
    </row>
    <row r="11" spans="1:63" ht="14.4" customHeight="1">
      <c r="A11" s="2">
        <f>ROW()-4</f>
        <v>7</v>
      </c>
      <c r="B11" s="23">
        <f>R11/L11</f>
        <v>0.77973036191890066</v>
      </c>
      <c r="C11" s="2">
        <f>IF(ISBLANK($B11),-1,IFERROR(IF($B11&gt;0.9,2,IF($B11&lt;0.3,1,0)),-1))</f>
        <v>0</v>
      </c>
      <c r="D11" s="38"/>
      <c r="E11" s="37"/>
      <c r="F11" s="62" t="s">
        <v>29</v>
      </c>
      <c r="G11" s="17" t="s">
        <v>30</v>
      </c>
      <c r="H11" s="25"/>
      <c r="I11" s="63" t="s">
        <v>31</v>
      </c>
      <c r="J11" s="64" t="s">
        <v>32</v>
      </c>
      <c r="K11" s="10">
        <v>1</v>
      </c>
      <c r="L11" s="65">
        <v>119469.03</v>
      </c>
      <c r="M11" s="65">
        <v>15530.97</v>
      </c>
      <c r="N11" s="65">
        <v>135000</v>
      </c>
      <c r="O11" s="66">
        <v>90074.84</v>
      </c>
      <c r="P11" s="65">
        <v>1329.1</v>
      </c>
      <c r="Q11" s="65">
        <v>1749.69</v>
      </c>
      <c r="R11" s="65">
        <v>93153.63</v>
      </c>
    </row>
    <row r="12" spans="1:63" ht="14.4" customHeight="1">
      <c r="A12" s="2">
        <f>ROW()-4</f>
        <v>8</v>
      </c>
      <c r="B12" s="23">
        <f>R12/L12</f>
        <v>0.7655583387035626</v>
      </c>
      <c r="C12" s="2">
        <f>IF(ISBLANK($B12),-1,IFERROR(IF($B12&gt;0.9,2,IF($B12&lt;0.3,1,0)),-1))</f>
        <v>0</v>
      </c>
      <c r="D12" s="38"/>
      <c r="E12" s="37"/>
      <c r="F12" s="62" t="s">
        <v>29</v>
      </c>
      <c r="G12" s="17" t="s">
        <v>30</v>
      </c>
      <c r="H12" s="25"/>
      <c r="I12" s="63" t="s">
        <v>31</v>
      </c>
      <c r="J12" s="64" t="s">
        <v>32</v>
      </c>
      <c r="K12" s="10">
        <v>1</v>
      </c>
      <c r="L12" s="65">
        <v>122123.9</v>
      </c>
      <c r="M12" s="65">
        <v>15876.1</v>
      </c>
      <c r="N12" s="65">
        <v>138000</v>
      </c>
      <c r="O12" s="66">
        <v>90386.33</v>
      </c>
      <c r="P12" s="65">
        <v>1329.1</v>
      </c>
      <c r="Q12" s="65">
        <v>1777.54</v>
      </c>
      <c r="R12" s="65">
        <v>93492.97</v>
      </c>
    </row>
    <row r="13" spans="1:63" ht="14.4" customHeight="1">
      <c r="A13" s="2">
        <f>ROW()-4</f>
        <v>9</v>
      </c>
      <c r="B13" s="23">
        <f>R13/L13</f>
        <v>0.79439508297673467</v>
      </c>
      <c r="C13" s="2">
        <f>IF(ISBLANK($B13),-1,IFERROR(IF($B13&gt;0.9,2,IF($B13&lt;0.3,1,0)),-1))</f>
        <v>0</v>
      </c>
      <c r="D13" s="38"/>
      <c r="E13" s="37"/>
      <c r="F13" s="62" t="s">
        <v>29</v>
      </c>
      <c r="G13" s="17" t="s">
        <v>30</v>
      </c>
      <c r="H13" s="25"/>
      <c r="I13" s="63" t="s">
        <v>31</v>
      </c>
      <c r="J13" s="64" t="s">
        <v>32</v>
      </c>
      <c r="K13" s="10">
        <v>1</v>
      </c>
      <c r="L13" s="65">
        <v>119469.03</v>
      </c>
      <c r="M13" s="65">
        <v>15530.97</v>
      </c>
      <c r="N13" s="65">
        <v>135000</v>
      </c>
      <c r="O13" s="66">
        <v>91789.07</v>
      </c>
      <c r="P13" s="65">
        <v>1329.1</v>
      </c>
      <c r="Q13" s="65">
        <v>1787.44</v>
      </c>
      <c r="R13" s="65">
        <v>94905.61</v>
      </c>
    </row>
    <row r="14" spans="1:63" ht="14.4" customHeight="1">
      <c r="A14" s="2">
        <f>ROW()-4</f>
        <v>10</v>
      </c>
      <c r="B14" s="23">
        <f>R14/L14</f>
        <v>0.79391462373135535</v>
      </c>
      <c r="C14" s="2">
        <f>IF(ISBLANK($B14),-1,IFERROR(IF($B14&gt;0.9,2,IF($B14&lt;0.3,1,0)),-1))</f>
        <v>0</v>
      </c>
      <c r="D14" s="38"/>
      <c r="E14" s="37"/>
      <c r="F14" s="62" t="s">
        <v>29</v>
      </c>
      <c r="G14" s="17" t="s">
        <v>30</v>
      </c>
      <c r="H14" s="25"/>
      <c r="I14" s="63" t="s">
        <v>31</v>
      </c>
      <c r="J14" s="64" t="s">
        <v>32</v>
      </c>
      <c r="K14" s="10">
        <v>1</v>
      </c>
      <c r="L14" s="65">
        <v>119469.03</v>
      </c>
      <c r="M14" s="65">
        <v>15530.97</v>
      </c>
      <c r="N14" s="65">
        <v>135000</v>
      </c>
      <c r="O14" s="66">
        <v>91734.31</v>
      </c>
      <c r="P14" s="65">
        <v>1329.1</v>
      </c>
      <c r="Q14" s="65">
        <v>1784.8</v>
      </c>
      <c r="R14" s="65">
        <v>94848.21</v>
      </c>
    </row>
    <row r="15" spans="1:63" ht="14.4" customHeight="1">
      <c r="A15" s="2">
        <f>ROW()-4</f>
        <v>11</v>
      </c>
      <c r="B15" s="23">
        <f>R15/L15</f>
        <v>0.79391462373135535</v>
      </c>
      <c r="C15" s="2">
        <f>IF(ISBLANK($B15),-1,IFERROR(IF($B15&gt;0.9,2,IF($B15&lt;0.3,1,0)),-1))</f>
        <v>0</v>
      </c>
      <c r="D15" s="38"/>
      <c r="E15" s="37"/>
      <c r="F15" s="62" t="s">
        <v>29</v>
      </c>
      <c r="G15" s="17" t="s">
        <v>30</v>
      </c>
      <c r="H15" s="25"/>
      <c r="I15" s="63" t="s">
        <v>31</v>
      </c>
      <c r="J15" s="64" t="s">
        <v>32</v>
      </c>
      <c r="K15" s="10">
        <v>1</v>
      </c>
      <c r="L15" s="65">
        <v>119469.03</v>
      </c>
      <c r="M15" s="65">
        <v>15530.97</v>
      </c>
      <c r="N15" s="65">
        <v>135000</v>
      </c>
      <c r="O15" s="66">
        <v>91734.31</v>
      </c>
      <c r="P15" s="65">
        <v>1329.1</v>
      </c>
      <c r="Q15" s="65">
        <v>1784.8</v>
      </c>
      <c r="R15" s="65">
        <v>94848.21</v>
      </c>
    </row>
    <row r="16" spans="1:63" ht="14.4" customHeight="1">
      <c r="A16" s="2">
        <f>ROW()-4</f>
        <v>12</v>
      </c>
      <c r="B16" s="23">
        <f>R16/L16</f>
        <v>0.79391482309218298</v>
      </c>
      <c r="C16" s="2">
        <f>IF(ISBLANK($B16),-1,IFERROR(IF($B16&gt;0.9,2,IF($B16&lt;0.3,1,0)),-1))</f>
        <v>0</v>
      </c>
      <c r="D16" s="38"/>
      <c r="E16" s="37"/>
      <c r="F16" s="62" t="s">
        <v>29</v>
      </c>
      <c r="G16" s="17" t="s">
        <v>30</v>
      </c>
      <c r="H16" s="25"/>
      <c r="I16" s="63" t="s">
        <v>31</v>
      </c>
      <c r="J16" s="64" t="s">
        <v>32</v>
      </c>
      <c r="K16" s="10">
        <v>1</v>
      </c>
      <c r="L16" s="65">
        <v>119469</v>
      </c>
      <c r="M16" s="65">
        <v>15531</v>
      </c>
      <c r="N16" s="65">
        <v>135000</v>
      </c>
      <c r="O16" s="66">
        <v>91734.31</v>
      </c>
      <c r="P16" s="65">
        <v>1329.1</v>
      </c>
      <c r="Q16" s="65">
        <v>1784.8</v>
      </c>
      <c r="R16" s="65">
        <v>94848.21</v>
      </c>
    </row>
    <row r="17" spans="1:18" ht="14.4" customHeight="1">
      <c r="A17" s="2">
        <f>ROW()-4</f>
        <v>13</v>
      </c>
      <c r="B17" s="23">
        <f>R17/L17</f>
        <v>0.73165870798920474</v>
      </c>
      <c r="C17" s="2">
        <f>IF(ISBLANK($B17),-1,IFERROR(IF($B17&gt;0.9,2,IF($B17&lt;0.3,1,0)),-1))</f>
        <v>0</v>
      </c>
      <c r="D17" s="38"/>
      <c r="E17" s="37"/>
      <c r="F17" s="62" t="s">
        <v>33</v>
      </c>
      <c r="G17" s="17" t="s">
        <v>30</v>
      </c>
      <c r="H17" s="25"/>
      <c r="I17" s="63" t="s">
        <v>25</v>
      </c>
      <c r="J17" s="64" t="s">
        <v>26</v>
      </c>
      <c r="K17" s="10">
        <v>1</v>
      </c>
      <c r="L17" s="65">
        <v>57522.12</v>
      </c>
      <c r="M17" s="65">
        <v>7477.88</v>
      </c>
      <c r="N17" s="65">
        <v>65000</v>
      </c>
      <c r="O17" s="66">
        <v>39571.14</v>
      </c>
      <c r="P17" s="65">
        <v>1480.4</v>
      </c>
      <c r="Q17" s="65">
        <v>1035.02</v>
      </c>
      <c r="R17" s="65">
        <v>42086.559999999998</v>
      </c>
    </row>
    <row r="18" spans="1:18" ht="14.4" customHeight="1">
      <c r="A18" s="2">
        <f>ROW()-4</f>
        <v>14</v>
      </c>
      <c r="B18" s="23">
        <f>R18/L18</f>
        <v>0.7388634506189502</v>
      </c>
      <c r="C18" s="2">
        <f>IF(ISBLANK($B18),-1,IFERROR(IF($B18&gt;0.9,2,IF($B18&lt;0.3,1,0)),-1))</f>
        <v>0</v>
      </c>
      <c r="D18" s="38"/>
      <c r="E18" s="37"/>
      <c r="F18" s="62" t="s">
        <v>34</v>
      </c>
      <c r="G18" s="17" t="s">
        <v>35</v>
      </c>
      <c r="H18" s="25"/>
      <c r="I18" s="63" t="s">
        <v>31</v>
      </c>
      <c r="J18" s="64" t="s">
        <v>32</v>
      </c>
      <c r="K18" s="10">
        <v>1</v>
      </c>
      <c r="L18" s="65">
        <v>96283.19</v>
      </c>
      <c r="M18" s="65">
        <v>12516.81</v>
      </c>
      <c r="N18" s="65">
        <v>108800</v>
      </c>
      <c r="O18" s="66">
        <v>68727.86</v>
      </c>
      <c r="P18" s="65">
        <v>1221.22</v>
      </c>
      <c r="Q18" s="65">
        <v>1191.05</v>
      </c>
      <c r="R18" s="65">
        <v>71140.13</v>
      </c>
    </row>
    <row r="19" spans="1:18" ht="14.4" customHeight="1">
      <c r="A19" s="2">
        <f>ROW()-4</f>
        <v>15</v>
      </c>
      <c r="B19" s="23">
        <f>R19/L19</f>
        <v>0.77052378421519463</v>
      </c>
      <c r="C19" s="2">
        <f>IF(ISBLANK($B19),-1,IFERROR(IF($B19&gt;0.9,2,IF($B19&lt;0.3,1,0)),-1))</f>
        <v>0</v>
      </c>
      <c r="D19" s="38"/>
      <c r="E19" s="37"/>
      <c r="F19" s="62" t="s">
        <v>34</v>
      </c>
      <c r="G19" s="17" t="s">
        <v>35</v>
      </c>
      <c r="H19" s="25"/>
      <c r="I19" s="63" t="s">
        <v>31</v>
      </c>
      <c r="J19" s="64" t="s">
        <v>32</v>
      </c>
      <c r="K19" s="10">
        <v>1</v>
      </c>
      <c r="L19" s="65">
        <v>157522.12</v>
      </c>
      <c r="M19" s="65">
        <v>20477.88</v>
      </c>
      <c r="N19" s="65">
        <v>178000</v>
      </c>
      <c r="O19" s="66">
        <v>117781.35</v>
      </c>
      <c r="P19" s="65">
        <v>1569.59</v>
      </c>
      <c r="Q19" s="65">
        <v>2023.6</v>
      </c>
      <c r="R19" s="65">
        <v>121374.54</v>
      </c>
    </row>
    <row r="20" spans="1:18" ht="14.4" customHeight="1">
      <c r="A20" s="2">
        <f>ROW()-4</f>
        <v>16</v>
      </c>
      <c r="B20" s="23">
        <f>R20/L20</f>
        <v>0.89975126704029051</v>
      </c>
      <c r="C20" s="2">
        <f>IF(ISBLANK($B20),-1,IFERROR(IF($B20&gt;0.9,2,IF($B20&lt;0.3,1,0)),-1))</f>
        <v>0</v>
      </c>
      <c r="D20" s="38"/>
      <c r="E20" s="37"/>
      <c r="F20" s="62" t="s">
        <v>36</v>
      </c>
      <c r="G20" s="17" t="s">
        <v>37</v>
      </c>
      <c r="H20" s="25"/>
      <c r="I20" s="63" t="s">
        <v>25</v>
      </c>
      <c r="J20" s="64" t="s">
        <v>26</v>
      </c>
      <c r="K20" s="10">
        <v>1</v>
      </c>
      <c r="L20" s="65">
        <v>45132.74</v>
      </c>
      <c r="M20" s="65">
        <v>5867.26</v>
      </c>
      <c r="N20" s="65">
        <v>51000</v>
      </c>
      <c r="O20" s="66">
        <v>38554.730000000003</v>
      </c>
      <c r="P20" s="65">
        <v>974.56</v>
      </c>
      <c r="Q20" s="65">
        <v>1078.95</v>
      </c>
      <c r="R20" s="65">
        <v>40608.239999999998</v>
      </c>
    </row>
    <row r="21" spans="1:18" ht="14.4" customHeight="1">
      <c r="A21" s="2">
        <f>ROW()-4</f>
        <v>17</v>
      </c>
      <c r="B21" s="23">
        <f>R21/L21</f>
        <v>0.67735715593876344</v>
      </c>
      <c r="C21" s="2">
        <f>IF(ISBLANK($B21),-1,IFERROR(IF($B21&gt;0.9,2,IF($B21&lt;0.3,1,0)),-1))</f>
        <v>0</v>
      </c>
      <c r="D21" s="38"/>
      <c r="E21" s="37"/>
      <c r="F21" s="62" t="s">
        <v>38</v>
      </c>
      <c r="G21" s="17" t="s">
        <v>39</v>
      </c>
      <c r="H21" s="25"/>
      <c r="I21" s="63" t="s">
        <v>25</v>
      </c>
      <c r="J21" s="64" t="s">
        <v>26</v>
      </c>
      <c r="K21" s="10">
        <v>1</v>
      </c>
      <c r="L21" s="65">
        <v>72566.37</v>
      </c>
      <c r="M21" s="65">
        <v>9433.6299999999992</v>
      </c>
      <c r="N21" s="65">
        <v>82000</v>
      </c>
      <c r="O21" s="66">
        <v>47082.85</v>
      </c>
      <c r="P21" s="65">
        <v>986.86</v>
      </c>
      <c r="Q21" s="65">
        <v>1083.6400000000001</v>
      </c>
      <c r="R21" s="65">
        <v>49153.35</v>
      </c>
    </row>
    <row r="22" spans="1:18" ht="14.4" customHeight="1">
      <c r="A22" s="2">
        <f>ROW()-4</f>
        <v>18</v>
      </c>
      <c r="B22" s="23">
        <f>R22/L22</f>
        <v>0.84639677910129318</v>
      </c>
      <c r="C22" s="2">
        <f>IF(ISBLANK($B22),-1,IFERROR(IF($B22&gt;0.9,2,IF($B22&lt;0.3,1,0)),-1))</f>
        <v>0</v>
      </c>
      <c r="D22" s="38"/>
      <c r="E22" s="37"/>
      <c r="F22" s="62" t="s">
        <v>40</v>
      </c>
      <c r="G22" s="17" t="s">
        <v>41</v>
      </c>
      <c r="H22" s="25"/>
      <c r="I22" s="63" t="s">
        <v>25</v>
      </c>
      <c r="J22" s="64" t="s">
        <v>26</v>
      </c>
      <c r="K22" s="10">
        <v>1</v>
      </c>
      <c r="L22" s="65">
        <v>90265.49</v>
      </c>
      <c r="M22" s="65">
        <v>11734.51</v>
      </c>
      <c r="N22" s="65">
        <v>102000</v>
      </c>
      <c r="O22" s="66">
        <v>73807.02</v>
      </c>
      <c r="P22" s="65">
        <v>933.09</v>
      </c>
      <c r="Q22" s="65">
        <v>1660.31</v>
      </c>
      <c r="R22" s="65">
        <v>76400.42</v>
      </c>
    </row>
    <row r="23" spans="1:18" ht="14.4" customHeight="1">
      <c r="A23" s="2">
        <f>ROW()-4</f>
        <v>19</v>
      </c>
      <c r="B23" s="23">
        <f>R23/L23</f>
        <v>0.81598569021069844</v>
      </c>
      <c r="C23" s="2">
        <f>IF(ISBLANK($B23),-1,IFERROR(IF($B23&gt;0.9,2,IF($B23&lt;0.3,1,0)),-1))</f>
        <v>0</v>
      </c>
      <c r="D23" s="38"/>
      <c r="E23" s="37"/>
      <c r="F23" s="62" t="s">
        <v>40</v>
      </c>
      <c r="G23" s="17" t="s">
        <v>41</v>
      </c>
      <c r="H23" s="25"/>
      <c r="I23" s="63" t="s">
        <v>25</v>
      </c>
      <c r="J23" s="64" t="s">
        <v>26</v>
      </c>
      <c r="K23" s="10">
        <v>1</v>
      </c>
      <c r="L23" s="65">
        <v>90265.48</v>
      </c>
      <c r="M23" s="65">
        <v>11734.52</v>
      </c>
      <c r="N23" s="65">
        <v>102000</v>
      </c>
      <c r="O23" s="66">
        <v>71150.240000000005</v>
      </c>
      <c r="P23" s="65">
        <v>933.09</v>
      </c>
      <c r="Q23" s="65">
        <v>1572.01</v>
      </c>
      <c r="R23" s="65">
        <v>73655.34</v>
      </c>
    </row>
    <row r="24" spans="1:18" ht="14.4" customHeight="1">
      <c r="A24" s="2">
        <f>ROW()-4</f>
        <v>20</v>
      </c>
      <c r="B24" s="23">
        <f>R24/L24</f>
        <v>0.81385362448983067</v>
      </c>
      <c r="C24" s="2">
        <f>IF(ISBLANK($B24),-1,IFERROR(IF($B24&gt;0.9,2,IF($B24&lt;0.3,1,0)),-1))</f>
        <v>0</v>
      </c>
      <c r="D24" s="38"/>
      <c r="E24" s="37"/>
      <c r="F24" s="62" t="s">
        <v>42</v>
      </c>
      <c r="G24" s="17" t="s">
        <v>43</v>
      </c>
      <c r="H24" s="25"/>
      <c r="I24" s="63" t="s">
        <v>25</v>
      </c>
      <c r="J24" s="64" t="s">
        <v>26</v>
      </c>
      <c r="K24" s="10">
        <v>1</v>
      </c>
      <c r="L24" s="65">
        <v>68141.59</v>
      </c>
      <c r="M24" s="65">
        <v>8858.41</v>
      </c>
      <c r="N24" s="65">
        <v>77000</v>
      </c>
      <c r="O24" s="66">
        <v>52907.35</v>
      </c>
      <c r="P24" s="65">
        <v>1274.23</v>
      </c>
      <c r="Q24" s="65">
        <v>1275.7</v>
      </c>
      <c r="R24" s="65">
        <v>55457.279999999999</v>
      </c>
    </row>
    <row r="25" spans="1:18" ht="14.4" customHeight="1">
      <c r="A25" s="2">
        <f>ROW()-4</f>
        <v>21</v>
      </c>
      <c r="B25" s="23">
        <f>R25/L25</f>
        <v>0.80344692933208417</v>
      </c>
      <c r="C25" s="2">
        <f>IF(ISBLANK($B25),-1,IFERROR(IF($B25&gt;0.9,2,IF($B25&lt;0.3,1,0)),-1))</f>
        <v>0</v>
      </c>
      <c r="D25" s="38"/>
      <c r="E25" s="37"/>
      <c r="F25" s="62" t="s">
        <v>42</v>
      </c>
      <c r="G25" s="17" t="s">
        <v>43</v>
      </c>
      <c r="H25" s="25"/>
      <c r="I25" s="63" t="s">
        <v>25</v>
      </c>
      <c r="J25" s="64" t="s">
        <v>26</v>
      </c>
      <c r="K25" s="10">
        <v>1</v>
      </c>
      <c r="L25" s="65">
        <v>69911.5</v>
      </c>
      <c r="M25" s="65">
        <v>9088.5</v>
      </c>
      <c r="N25" s="65">
        <v>79000</v>
      </c>
      <c r="O25" s="66">
        <v>53593.63</v>
      </c>
      <c r="P25" s="65">
        <v>1274.23</v>
      </c>
      <c r="Q25" s="65">
        <v>1302.32</v>
      </c>
      <c r="R25" s="65">
        <v>56170.18</v>
      </c>
    </row>
    <row r="26" spans="1:18" ht="14.4" customHeight="1">
      <c r="A26" s="2">
        <f>ROW()-4</f>
        <v>22</v>
      </c>
      <c r="B26" s="23">
        <f>R26/L26</f>
        <v>0.86901506787232152</v>
      </c>
      <c r="C26" s="2">
        <f>IF(ISBLANK($B26),-1,IFERROR(IF($B26&gt;0.9,2,IF($B26&lt;0.3,1,0)),-1))</f>
        <v>0</v>
      </c>
      <c r="D26" s="38"/>
      <c r="E26" s="37"/>
      <c r="F26" s="62" t="s">
        <v>42</v>
      </c>
      <c r="G26" s="17" t="s">
        <v>43</v>
      </c>
      <c r="H26" s="25"/>
      <c r="I26" s="63" t="s">
        <v>25</v>
      </c>
      <c r="J26" s="64" t="s">
        <v>26</v>
      </c>
      <c r="K26" s="10">
        <v>1</v>
      </c>
      <c r="L26" s="65">
        <v>66371.679999999993</v>
      </c>
      <c r="M26" s="65">
        <v>8628.32</v>
      </c>
      <c r="N26" s="65">
        <v>75000</v>
      </c>
      <c r="O26" s="66">
        <v>55430.54</v>
      </c>
      <c r="P26" s="65">
        <v>938.61</v>
      </c>
      <c r="Q26" s="65">
        <v>1308.8399999999999</v>
      </c>
      <c r="R26" s="65">
        <v>57677.99</v>
      </c>
    </row>
    <row r="27" spans="1:18" ht="14.4" customHeight="1">
      <c r="A27" s="2">
        <f>ROW()-4</f>
        <v>23</v>
      </c>
      <c r="B27" s="23">
        <f>R27/L27</f>
        <v>0.80703248531793037</v>
      </c>
      <c r="C27" s="2">
        <f>IF(ISBLANK($B27),-1,IFERROR(IF($B27&gt;0.9,2,IF($B27&lt;0.3,1,0)),-1))</f>
        <v>0</v>
      </c>
      <c r="D27" s="38"/>
      <c r="E27" s="78"/>
      <c r="F27" s="62" t="s">
        <v>44</v>
      </c>
      <c r="G27" s="17" t="s">
        <v>43</v>
      </c>
      <c r="H27" s="25"/>
      <c r="I27" s="63" t="s">
        <v>25</v>
      </c>
      <c r="J27" s="64" t="s">
        <v>26</v>
      </c>
      <c r="K27" s="10">
        <v>1</v>
      </c>
      <c r="L27" s="65">
        <v>50442.48</v>
      </c>
      <c r="M27" s="65">
        <v>6557.52</v>
      </c>
      <c r="N27" s="65">
        <v>57000</v>
      </c>
      <c r="O27" s="66">
        <v>38640.21</v>
      </c>
      <c r="P27" s="65">
        <v>1137.98</v>
      </c>
      <c r="Q27" s="65">
        <v>930.53</v>
      </c>
      <c r="R27" s="65">
        <v>40708.720000000001</v>
      </c>
    </row>
    <row r="28" spans="1:18" ht="14.4" customHeight="1">
      <c r="A28" s="2">
        <f>ROW()-4</f>
        <v>24</v>
      </c>
      <c r="B28" s="23">
        <f>R28/L28</f>
        <v>0.74571385895587594</v>
      </c>
      <c r="C28" s="2">
        <f>IF(ISBLANK($B28),-1,IFERROR(IF($B28&gt;0.9,2,IF($B28&lt;0.3,1,0)),-1))</f>
        <v>0</v>
      </c>
      <c r="D28" s="38"/>
      <c r="E28" s="37"/>
      <c r="F28" s="62" t="s">
        <v>45</v>
      </c>
      <c r="G28" s="17" t="s">
        <v>46</v>
      </c>
      <c r="H28" s="25"/>
      <c r="I28" s="63" t="s">
        <v>25</v>
      </c>
      <c r="J28" s="64" t="s">
        <v>26</v>
      </c>
      <c r="K28" s="10">
        <v>1</v>
      </c>
      <c r="L28" s="65">
        <v>48672.57</v>
      </c>
      <c r="M28" s="65">
        <v>6327.43</v>
      </c>
      <c r="N28" s="65">
        <v>55000</v>
      </c>
      <c r="O28" s="66">
        <v>34136.870000000003</v>
      </c>
      <c r="P28" s="65">
        <v>978.73</v>
      </c>
      <c r="Q28" s="65">
        <v>1180.21</v>
      </c>
      <c r="R28" s="65">
        <v>36295.81</v>
      </c>
    </row>
    <row r="29" spans="1:18" ht="14.4" customHeight="1">
      <c r="A29" s="2">
        <f>ROW()-4</f>
        <v>25</v>
      </c>
      <c r="B29" s="23">
        <f>R29/L29</f>
        <v>0.80936387784742003</v>
      </c>
      <c r="C29" s="2">
        <f>IF(ISBLANK($B29),-1,IFERROR(IF($B29&gt;0.9,2,IF($B29&lt;0.3,1,0)),-1))</f>
        <v>0</v>
      </c>
      <c r="D29" s="38"/>
      <c r="E29" s="78"/>
      <c r="F29" s="62" t="s">
        <v>47</v>
      </c>
      <c r="G29" s="17" t="s">
        <v>48</v>
      </c>
      <c r="H29" s="25"/>
      <c r="I29" s="63" t="s">
        <v>25</v>
      </c>
      <c r="J29" s="64" t="s">
        <v>26</v>
      </c>
      <c r="K29" s="10">
        <v>1</v>
      </c>
      <c r="L29" s="65">
        <v>48672.57</v>
      </c>
      <c r="M29" s="65">
        <v>6327.43</v>
      </c>
      <c r="N29" s="65">
        <v>55000</v>
      </c>
      <c r="O29" s="66">
        <v>37034.25</v>
      </c>
      <c r="P29" s="65">
        <v>1263.06</v>
      </c>
      <c r="Q29" s="65">
        <v>1096.51</v>
      </c>
      <c r="R29" s="65">
        <v>39393.82</v>
      </c>
    </row>
    <row r="30" spans="1:18" ht="14.4" customHeight="1">
      <c r="A30" s="2">
        <f>ROW()-4</f>
        <v>26</v>
      </c>
      <c r="B30" s="23">
        <f>R30/L30</f>
        <v>0.71347223658501679</v>
      </c>
      <c r="C30" s="2">
        <f>IF(ISBLANK($B30),-1,IFERROR(IF($B30&gt;0.9,2,IF($B30&lt;0.3,1,0)),-1))</f>
        <v>0</v>
      </c>
      <c r="D30" s="38"/>
      <c r="E30" s="78"/>
      <c r="F30" s="62" t="s">
        <v>49</v>
      </c>
      <c r="G30" s="17" t="s">
        <v>50</v>
      </c>
      <c r="H30" s="25"/>
      <c r="I30" s="63" t="s">
        <v>25</v>
      </c>
      <c r="J30" s="64" t="s">
        <v>26</v>
      </c>
      <c r="K30" s="10">
        <v>1</v>
      </c>
      <c r="L30" s="65">
        <v>58407.08</v>
      </c>
      <c r="M30" s="65">
        <v>7592.92</v>
      </c>
      <c r="N30" s="65">
        <v>66000</v>
      </c>
      <c r="O30" s="66">
        <v>39538.15</v>
      </c>
      <c r="P30" s="65">
        <v>978.73</v>
      </c>
      <c r="Q30" s="65">
        <v>1154.95</v>
      </c>
      <c r="R30" s="65">
        <v>41671.83</v>
      </c>
    </row>
    <row r="31" spans="1:18" ht="14.4" customHeight="1">
      <c r="A31" s="2">
        <f>ROW()-4</f>
        <v>27</v>
      </c>
      <c r="B31" s="23">
        <f>R31/L31</f>
        <v>0.7691599497952879</v>
      </c>
      <c r="C31" s="2">
        <f>IF(ISBLANK($B31),-1,IFERROR(IF($B31&gt;0.9,2,IF($B31&lt;0.3,1,0)),-1))</f>
        <v>0</v>
      </c>
      <c r="D31" s="38"/>
      <c r="E31" s="78"/>
      <c r="F31" s="62" t="s">
        <v>51</v>
      </c>
      <c r="G31" s="17" t="s">
        <v>52</v>
      </c>
      <c r="H31" s="25"/>
      <c r="I31" s="63" t="s">
        <v>31</v>
      </c>
      <c r="J31" s="64" t="s">
        <v>32</v>
      </c>
      <c r="K31" s="10">
        <v>1</v>
      </c>
      <c r="L31" s="65">
        <v>134513.26999999999</v>
      </c>
      <c r="M31" s="65">
        <v>17486.73</v>
      </c>
      <c r="N31" s="65">
        <v>152000</v>
      </c>
      <c r="O31" s="66">
        <v>100347.3</v>
      </c>
      <c r="P31" s="65">
        <v>1454.09</v>
      </c>
      <c r="Q31" s="65">
        <v>1660.83</v>
      </c>
      <c r="R31" s="65">
        <v>103462.22</v>
      </c>
    </row>
    <row r="32" spans="1:18" ht="14.4" customHeight="1">
      <c r="A32" s="2">
        <f>ROW()-4</f>
        <v>28</v>
      </c>
      <c r="B32" s="23">
        <f>R32/L32</f>
        <v>0.79382888223235248</v>
      </c>
      <c r="C32" s="2">
        <f>IF(ISBLANK($B32),-1,IFERROR(IF($B32&gt;0.9,2,IF($B32&lt;0.3,1,0)),-1))</f>
        <v>0</v>
      </c>
      <c r="D32" s="38"/>
      <c r="E32" s="78"/>
      <c r="F32" s="62" t="s">
        <v>53</v>
      </c>
      <c r="G32" s="17" t="s">
        <v>52</v>
      </c>
      <c r="H32" s="25"/>
      <c r="I32" s="63" t="s">
        <v>25</v>
      </c>
      <c r="J32" s="64" t="s">
        <v>26</v>
      </c>
      <c r="K32" s="10">
        <v>1</v>
      </c>
      <c r="L32" s="65">
        <v>53097.35</v>
      </c>
      <c r="M32" s="65">
        <v>6902.65</v>
      </c>
      <c r="N32" s="65">
        <v>60000</v>
      </c>
      <c r="O32" s="66">
        <v>39934.660000000003</v>
      </c>
      <c r="P32" s="65">
        <v>1240.3599999999999</v>
      </c>
      <c r="Q32" s="65">
        <v>975.19</v>
      </c>
      <c r="R32" s="65">
        <v>42150.21</v>
      </c>
    </row>
    <row r="33" spans="1:18" ht="14.4" customHeight="1">
      <c r="A33" s="2">
        <f>ROW()-4</f>
        <v>29</v>
      </c>
      <c r="B33" s="23">
        <f>R33/L33</f>
        <v>0.82515201924150294</v>
      </c>
      <c r="C33" s="2">
        <f>IF(ISBLANK($B33),-1,IFERROR(IF($B33&gt;0.9,2,IF($B33&lt;0.3,1,0)),-1))</f>
        <v>0</v>
      </c>
      <c r="D33" s="38"/>
      <c r="E33" s="24"/>
      <c r="F33" s="62" t="s">
        <v>54</v>
      </c>
      <c r="G33" s="17" t="s">
        <v>55</v>
      </c>
      <c r="H33" s="25"/>
      <c r="I33" s="63" t="s">
        <v>25</v>
      </c>
      <c r="J33" s="64" t="s">
        <v>26</v>
      </c>
      <c r="K33" s="10">
        <v>1</v>
      </c>
      <c r="L33" s="65">
        <v>58407.08</v>
      </c>
      <c r="M33" s="65">
        <v>7592.92</v>
      </c>
      <c r="N33" s="65">
        <v>66000</v>
      </c>
      <c r="O33" s="66">
        <v>45893.3</v>
      </c>
      <c r="P33" s="65">
        <v>1097.54</v>
      </c>
      <c r="Q33" s="65">
        <v>1203.8800000000001</v>
      </c>
      <c r="R33" s="65">
        <v>48194.720000000001</v>
      </c>
    </row>
    <row r="34" spans="1:18" ht="14.4" customHeight="1">
      <c r="A34" s="2">
        <f>ROW()-4</f>
        <v>30</v>
      </c>
      <c r="B34" s="23">
        <f>R34/L34</f>
        <v>0.79664240171475609</v>
      </c>
      <c r="C34" s="2">
        <f>IF(ISBLANK($B34),-1,IFERROR(IF($B34&gt;0.9,2,IF($B34&lt;0.3,1,0)),-1))</f>
        <v>0</v>
      </c>
      <c r="D34" s="38"/>
      <c r="E34" s="78"/>
      <c r="F34" s="62" t="s">
        <v>56</v>
      </c>
      <c r="G34" s="17" t="s">
        <v>55</v>
      </c>
      <c r="H34" s="25"/>
      <c r="I34" s="63" t="s">
        <v>25</v>
      </c>
      <c r="J34" s="64" t="s">
        <v>26</v>
      </c>
      <c r="K34" s="10">
        <v>1</v>
      </c>
      <c r="L34" s="65">
        <v>78761.06</v>
      </c>
      <c r="M34" s="65">
        <v>10238.94</v>
      </c>
      <c r="N34" s="65">
        <v>89000</v>
      </c>
      <c r="O34" s="66">
        <v>60136.14</v>
      </c>
      <c r="P34" s="65">
        <v>1088.48</v>
      </c>
      <c r="Q34" s="65">
        <v>1519.78</v>
      </c>
      <c r="R34" s="65">
        <v>62744.4</v>
      </c>
    </row>
    <row r="35" spans="1:18" ht="14.4" customHeight="1">
      <c r="A35" s="2">
        <f>ROW()-4</f>
        <v>31</v>
      </c>
      <c r="B35" s="23">
        <f>R35/L35</f>
        <v>0.79888147240409924</v>
      </c>
      <c r="C35" s="2">
        <f>IF(ISBLANK($B35),-1,IFERROR(IF($B35&gt;0.9,2,IF($B35&lt;0.3,1,0)),-1))</f>
        <v>0</v>
      </c>
      <c r="D35" s="38"/>
      <c r="E35" s="24"/>
      <c r="F35" s="62" t="s">
        <v>57</v>
      </c>
      <c r="G35" s="17" t="s">
        <v>58</v>
      </c>
      <c r="H35" s="25"/>
      <c r="I35" s="63" t="s">
        <v>25</v>
      </c>
      <c r="J35" s="64" t="s">
        <v>26</v>
      </c>
      <c r="K35" s="10">
        <v>1</v>
      </c>
      <c r="L35" s="65">
        <v>63805.31</v>
      </c>
      <c r="M35" s="65">
        <v>8294.69</v>
      </c>
      <c r="N35" s="65">
        <v>72100</v>
      </c>
      <c r="O35" s="66">
        <v>48408.12</v>
      </c>
      <c r="P35" s="65">
        <v>1478.35</v>
      </c>
      <c r="Q35" s="65">
        <v>1086.4100000000001</v>
      </c>
      <c r="R35" s="65">
        <v>50972.88</v>
      </c>
    </row>
    <row r="36" spans="1:18" ht="14.4" customHeight="1">
      <c r="A36" s="2">
        <f>ROW()-4</f>
        <v>32</v>
      </c>
      <c r="B36" s="23">
        <f>R36/L36</f>
        <v>0.78582205775663505</v>
      </c>
      <c r="C36" s="2">
        <f>IF(ISBLANK($B36),-1,IFERROR(IF($B36&gt;0.9,2,IF($B36&lt;0.3,1,0)),-1))</f>
        <v>0</v>
      </c>
      <c r="D36" s="38"/>
      <c r="E36" s="24"/>
      <c r="F36" s="62" t="s">
        <v>57</v>
      </c>
      <c r="G36" s="17" t="s">
        <v>58</v>
      </c>
      <c r="H36" s="25"/>
      <c r="I36" s="63" t="s">
        <v>25</v>
      </c>
      <c r="J36" s="64" t="s">
        <v>26</v>
      </c>
      <c r="K36" s="10">
        <v>1</v>
      </c>
      <c r="L36" s="65">
        <v>63805.31</v>
      </c>
      <c r="M36" s="65">
        <v>8294.69</v>
      </c>
      <c r="N36" s="65">
        <v>72100</v>
      </c>
      <c r="O36" s="66">
        <v>47605.98</v>
      </c>
      <c r="P36" s="65">
        <v>1478.35</v>
      </c>
      <c r="Q36" s="65">
        <v>1055.29</v>
      </c>
      <c r="R36" s="65">
        <v>50139.62</v>
      </c>
    </row>
    <row r="37" spans="1:18" ht="14.4" customHeight="1">
      <c r="A37" s="2">
        <f>ROW()-4</f>
        <v>33</v>
      </c>
      <c r="B37" s="23">
        <f>R37/L37</f>
        <v>0.78582205775663505</v>
      </c>
      <c r="C37" s="2">
        <f>IF(ISBLANK($B37),-1,IFERROR(IF($B37&gt;0.9,2,IF($B37&lt;0.3,1,0)),-1))</f>
        <v>0</v>
      </c>
      <c r="D37" s="38"/>
      <c r="E37" s="24"/>
      <c r="F37" s="62" t="s">
        <v>57</v>
      </c>
      <c r="G37" s="17" t="s">
        <v>58</v>
      </c>
      <c r="H37" s="25"/>
      <c r="I37" s="63" t="s">
        <v>25</v>
      </c>
      <c r="J37" s="64" t="s">
        <v>26</v>
      </c>
      <c r="K37" s="10">
        <v>1</v>
      </c>
      <c r="L37" s="65">
        <v>63805.31</v>
      </c>
      <c r="M37" s="65">
        <v>8294.69</v>
      </c>
      <c r="N37" s="65">
        <v>72100</v>
      </c>
      <c r="O37" s="66">
        <v>47605.98</v>
      </c>
      <c r="P37" s="65">
        <v>1478.35</v>
      </c>
      <c r="Q37" s="65">
        <v>1055.29</v>
      </c>
      <c r="R37" s="65">
        <v>50139.62</v>
      </c>
    </row>
    <row r="38" spans="1:18" ht="14.4" customHeight="1">
      <c r="A38" s="2">
        <f>ROW()-4</f>
        <v>34</v>
      </c>
      <c r="B38" s="23">
        <f>R38/L38</f>
        <v>0.78534858619133741</v>
      </c>
      <c r="C38" s="2">
        <f>IF(ISBLANK($B38),-1,IFERROR(IF($B38&gt;0.9,2,IF($B38&lt;0.3,1,0)),-1))</f>
        <v>0</v>
      </c>
      <c r="D38" s="38"/>
      <c r="E38" s="24"/>
      <c r="F38" s="62" t="s">
        <v>57</v>
      </c>
      <c r="G38" s="17" t="s">
        <v>58</v>
      </c>
      <c r="H38" s="25"/>
      <c r="I38" s="63" t="s">
        <v>25</v>
      </c>
      <c r="J38" s="64" t="s">
        <v>26</v>
      </c>
      <c r="K38" s="10">
        <v>1</v>
      </c>
      <c r="L38" s="65">
        <v>63805.31</v>
      </c>
      <c r="M38" s="65">
        <v>8294.69</v>
      </c>
      <c r="N38" s="65">
        <v>72100</v>
      </c>
      <c r="O38" s="66">
        <v>47576.99</v>
      </c>
      <c r="P38" s="65">
        <v>1478.35</v>
      </c>
      <c r="Q38" s="65">
        <v>1054.07</v>
      </c>
      <c r="R38" s="65">
        <v>50109.41</v>
      </c>
    </row>
    <row r="39" spans="1:18" ht="14.4" customHeight="1">
      <c r="A39" s="2">
        <f>ROW()-4</f>
        <v>35</v>
      </c>
      <c r="B39" s="23">
        <f>R39/L39</f>
        <v>0.78534858619133741</v>
      </c>
      <c r="C39" s="2">
        <f>IF(ISBLANK($B39),-1,IFERROR(IF($B39&gt;0.9,2,IF($B39&lt;0.3,1,0)),-1))</f>
        <v>0</v>
      </c>
      <c r="D39" s="38"/>
      <c r="E39" s="24"/>
      <c r="F39" s="62" t="s">
        <v>57</v>
      </c>
      <c r="G39" s="17" t="s">
        <v>58</v>
      </c>
      <c r="H39" s="25"/>
      <c r="I39" s="63" t="s">
        <v>25</v>
      </c>
      <c r="J39" s="64" t="s">
        <v>26</v>
      </c>
      <c r="K39" s="10">
        <v>1</v>
      </c>
      <c r="L39" s="65">
        <v>63805.31</v>
      </c>
      <c r="M39" s="65">
        <v>8294.69</v>
      </c>
      <c r="N39" s="65">
        <v>72100</v>
      </c>
      <c r="O39" s="66">
        <v>47576.99</v>
      </c>
      <c r="P39" s="65">
        <v>1478.35</v>
      </c>
      <c r="Q39" s="65">
        <v>1054.07</v>
      </c>
      <c r="R39" s="65">
        <v>50109.41</v>
      </c>
    </row>
    <row r="40" spans="1:18" ht="14.4" customHeight="1">
      <c r="A40" s="2">
        <f>ROW()-4</f>
        <v>36</v>
      </c>
      <c r="B40" s="23">
        <f>R40/L40</f>
        <v>0.78534858619133741</v>
      </c>
      <c r="C40" s="2">
        <f>IF(ISBLANK($B40),-1,IFERROR(IF($B40&gt;0.9,2,IF($B40&lt;0.3,1,0)),-1))</f>
        <v>0</v>
      </c>
      <c r="D40" s="38"/>
      <c r="E40" s="24"/>
      <c r="F40" s="62" t="s">
        <v>57</v>
      </c>
      <c r="G40" s="17" t="s">
        <v>58</v>
      </c>
      <c r="H40" s="25"/>
      <c r="I40" s="63" t="s">
        <v>25</v>
      </c>
      <c r="J40" s="64" t="s">
        <v>26</v>
      </c>
      <c r="K40" s="10">
        <v>1</v>
      </c>
      <c r="L40" s="65">
        <v>63805.31</v>
      </c>
      <c r="M40" s="65">
        <v>8294.69</v>
      </c>
      <c r="N40" s="65">
        <v>72100</v>
      </c>
      <c r="O40" s="66">
        <v>47576.99</v>
      </c>
      <c r="P40" s="65">
        <v>1478.35</v>
      </c>
      <c r="Q40" s="65">
        <v>1054.07</v>
      </c>
      <c r="R40" s="65">
        <v>50109.41</v>
      </c>
    </row>
    <row r="41" spans="1:18" ht="14.4" customHeight="1">
      <c r="A41" s="2">
        <f>ROW()-4</f>
        <v>37</v>
      </c>
      <c r="B41" s="23">
        <f>R41/L41</f>
        <v>0.78534858619133741</v>
      </c>
      <c r="C41" s="2">
        <f>IF(ISBLANK($B41),-1,IFERROR(IF($B41&gt;0.9,2,IF($B41&lt;0.3,1,0)),-1))</f>
        <v>0</v>
      </c>
      <c r="D41" s="38"/>
      <c r="E41" s="24"/>
      <c r="F41" s="62" t="s">
        <v>57</v>
      </c>
      <c r="G41" s="17" t="s">
        <v>58</v>
      </c>
      <c r="H41" s="25"/>
      <c r="I41" s="63" t="s">
        <v>25</v>
      </c>
      <c r="J41" s="64" t="s">
        <v>26</v>
      </c>
      <c r="K41" s="10">
        <v>1</v>
      </c>
      <c r="L41" s="65">
        <v>63805.31</v>
      </c>
      <c r="M41" s="65">
        <v>8294.69</v>
      </c>
      <c r="N41" s="65">
        <v>72100</v>
      </c>
      <c r="O41" s="66">
        <v>47576.99</v>
      </c>
      <c r="P41" s="65">
        <v>1478.35</v>
      </c>
      <c r="Q41" s="65">
        <v>1054.07</v>
      </c>
      <c r="R41" s="65">
        <v>50109.41</v>
      </c>
    </row>
    <row r="42" spans="1:18" ht="14.4" customHeight="1">
      <c r="A42" s="2">
        <f>ROW()-4</f>
        <v>38</v>
      </c>
      <c r="B42" s="23">
        <f>R42/L42</f>
        <v>0.78534858619133741</v>
      </c>
      <c r="C42" s="2">
        <f>IF(ISBLANK($B42),-1,IFERROR(IF($B42&gt;0.9,2,IF($B42&lt;0.3,1,0)),-1))</f>
        <v>0</v>
      </c>
      <c r="D42" s="38"/>
      <c r="E42" s="24"/>
      <c r="F42" s="62" t="s">
        <v>57</v>
      </c>
      <c r="G42" s="17" t="s">
        <v>58</v>
      </c>
      <c r="H42" s="25"/>
      <c r="I42" s="63" t="s">
        <v>25</v>
      </c>
      <c r="J42" s="64" t="s">
        <v>26</v>
      </c>
      <c r="K42" s="10">
        <v>1</v>
      </c>
      <c r="L42" s="65">
        <v>63805.31</v>
      </c>
      <c r="M42" s="65">
        <v>8294.69</v>
      </c>
      <c r="N42" s="65">
        <v>72100</v>
      </c>
      <c r="O42" s="66">
        <v>47576.99</v>
      </c>
      <c r="P42" s="65">
        <v>1478.35</v>
      </c>
      <c r="Q42" s="65">
        <v>1054.07</v>
      </c>
      <c r="R42" s="65">
        <v>50109.41</v>
      </c>
    </row>
    <row r="43" spans="1:18" ht="14.4" customHeight="1">
      <c r="A43" s="2">
        <f>ROW()-4</f>
        <v>39</v>
      </c>
      <c r="B43" s="23">
        <f>R43/L43</f>
        <v>0.78538855151710729</v>
      </c>
      <c r="C43" s="2">
        <f>IF(ISBLANK($B43),-1,IFERROR(IF($B43&gt;0.9,2,IF($B43&lt;0.3,1,0)),-1))</f>
        <v>0</v>
      </c>
      <c r="D43" s="38"/>
      <c r="E43" s="24"/>
      <c r="F43" s="62" t="s">
        <v>57</v>
      </c>
      <c r="G43" s="17" t="s">
        <v>58</v>
      </c>
      <c r="H43" s="25"/>
      <c r="I43" s="63" t="s">
        <v>25</v>
      </c>
      <c r="J43" s="64" t="s">
        <v>26</v>
      </c>
      <c r="K43" s="10">
        <v>1</v>
      </c>
      <c r="L43" s="65">
        <v>63805.31</v>
      </c>
      <c r="M43" s="65">
        <v>8294.69</v>
      </c>
      <c r="N43" s="65">
        <v>72100</v>
      </c>
      <c r="O43" s="66">
        <v>47576.99</v>
      </c>
      <c r="P43" s="65">
        <v>1478.35</v>
      </c>
      <c r="Q43" s="65">
        <v>1056.6199999999999</v>
      </c>
      <c r="R43" s="65">
        <v>50111.96</v>
      </c>
    </row>
    <row r="44" spans="1:18" ht="14.4" customHeight="1">
      <c r="A44" s="2">
        <f>ROW()-4</f>
        <v>40</v>
      </c>
      <c r="B44" s="23">
        <f>R44/L44</f>
        <v>0.78538855151710729</v>
      </c>
      <c r="C44" s="2">
        <f>IF(ISBLANK($B44),-1,IFERROR(IF($B44&gt;0.9,2,IF($B44&lt;0.3,1,0)),-1))</f>
        <v>0</v>
      </c>
      <c r="D44" s="38"/>
      <c r="E44" s="24"/>
      <c r="F44" s="62" t="s">
        <v>57</v>
      </c>
      <c r="G44" s="17" t="s">
        <v>58</v>
      </c>
      <c r="H44" s="25"/>
      <c r="I44" s="63" t="s">
        <v>25</v>
      </c>
      <c r="J44" s="64" t="s">
        <v>26</v>
      </c>
      <c r="K44" s="10">
        <v>1</v>
      </c>
      <c r="L44" s="65">
        <v>63805.31</v>
      </c>
      <c r="M44" s="65">
        <v>8294.69</v>
      </c>
      <c r="N44" s="65">
        <v>72100</v>
      </c>
      <c r="O44" s="66">
        <v>47576.99</v>
      </c>
      <c r="P44" s="65">
        <v>1478.35</v>
      </c>
      <c r="Q44" s="65">
        <v>1056.6199999999999</v>
      </c>
      <c r="R44" s="65">
        <v>50111.96</v>
      </c>
    </row>
    <row r="45" spans="1:18" ht="14.4" customHeight="1">
      <c r="A45" s="2">
        <f>ROW()-4</f>
        <v>41</v>
      </c>
      <c r="B45" s="23">
        <f>R45/L45</f>
        <v>0.78538855151710729</v>
      </c>
      <c r="C45" s="2">
        <f>IF(ISBLANK($B45),-1,IFERROR(IF($B45&gt;0.9,2,IF($B45&lt;0.3,1,0)),-1))</f>
        <v>0</v>
      </c>
      <c r="D45" s="38"/>
      <c r="E45" s="24"/>
      <c r="F45" s="62" t="s">
        <v>57</v>
      </c>
      <c r="G45" s="17" t="s">
        <v>58</v>
      </c>
      <c r="H45" s="25"/>
      <c r="I45" s="63" t="s">
        <v>25</v>
      </c>
      <c r="J45" s="64" t="s">
        <v>26</v>
      </c>
      <c r="K45" s="10">
        <v>1</v>
      </c>
      <c r="L45" s="65">
        <v>63805.31</v>
      </c>
      <c r="M45" s="65">
        <v>8294.69</v>
      </c>
      <c r="N45" s="65">
        <v>72100</v>
      </c>
      <c r="O45" s="66">
        <v>47576.99</v>
      </c>
      <c r="P45" s="65">
        <v>1478.35</v>
      </c>
      <c r="Q45" s="65">
        <v>1056.6199999999999</v>
      </c>
      <c r="R45" s="65">
        <v>50111.96</v>
      </c>
    </row>
    <row r="46" spans="1:18" ht="14.4" customHeight="1">
      <c r="A46" s="2">
        <f>ROW()-4</f>
        <v>42</v>
      </c>
      <c r="B46" s="23">
        <f>R46/L46</f>
        <v>0.78538855151710729</v>
      </c>
      <c r="C46" s="2">
        <f>IF(ISBLANK($B46),-1,IFERROR(IF($B46&gt;0.9,2,IF($B46&lt;0.3,1,0)),-1))</f>
        <v>0</v>
      </c>
      <c r="D46" s="38"/>
      <c r="E46" s="24"/>
      <c r="F46" s="62" t="s">
        <v>57</v>
      </c>
      <c r="G46" s="17" t="s">
        <v>58</v>
      </c>
      <c r="H46" s="25"/>
      <c r="I46" s="63" t="s">
        <v>25</v>
      </c>
      <c r="J46" s="64" t="s">
        <v>26</v>
      </c>
      <c r="K46" s="10">
        <v>1</v>
      </c>
      <c r="L46" s="65">
        <v>63805.31</v>
      </c>
      <c r="M46" s="65">
        <v>8294.69</v>
      </c>
      <c r="N46" s="65">
        <v>72100</v>
      </c>
      <c r="O46" s="66">
        <v>47576.99</v>
      </c>
      <c r="P46" s="65">
        <v>1478.35</v>
      </c>
      <c r="Q46" s="65">
        <v>1056.6199999999999</v>
      </c>
      <c r="R46" s="65">
        <v>50111.96</v>
      </c>
    </row>
    <row r="47" spans="1:18" ht="14.4" customHeight="1">
      <c r="A47" s="2">
        <f>ROW()-4</f>
        <v>43</v>
      </c>
      <c r="B47" s="23">
        <f>R47/L47</f>
        <v>0.78538855151710729</v>
      </c>
      <c r="C47" s="2">
        <f>IF(ISBLANK($B47),-1,IFERROR(IF($B47&gt;0.9,2,IF($B47&lt;0.3,1,0)),-1))</f>
        <v>0</v>
      </c>
      <c r="D47" s="38"/>
      <c r="E47" s="24"/>
      <c r="F47" s="62" t="s">
        <v>57</v>
      </c>
      <c r="G47" s="17" t="s">
        <v>58</v>
      </c>
      <c r="H47" s="25"/>
      <c r="I47" s="63" t="s">
        <v>25</v>
      </c>
      <c r="J47" s="64" t="s">
        <v>26</v>
      </c>
      <c r="K47" s="10">
        <v>1</v>
      </c>
      <c r="L47" s="65">
        <v>63805.31</v>
      </c>
      <c r="M47" s="65">
        <v>8294.69</v>
      </c>
      <c r="N47" s="65">
        <v>72100</v>
      </c>
      <c r="O47" s="66">
        <v>47576.99</v>
      </c>
      <c r="P47" s="65">
        <v>1478.35</v>
      </c>
      <c r="Q47" s="65">
        <v>1056.6199999999999</v>
      </c>
      <c r="R47" s="65">
        <v>50111.96</v>
      </c>
    </row>
    <row r="48" spans="1:18" ht="14.4" customHeight="1">
      <c r="A48" s="2">
        <f>ROW()-4</f>
        <v>44</v>
      </c>
      <c r="B48" s="23">
        <f>R48/L48</f>
        <v>0.78538855151710729</v>
      </c>
      <c r="C48" s="2">
        <f>IF(ISBLANK($B48),-1,IFERROR(IF($B48&gt;0.9,2,IF($B48&lt;0.3,1,0)),-1))</f>
        <v>0</v>
      </c>
      <c r="D48" s="38"/>
      <c r="E48" s="24"/>
      <c r="F48" s="62" t="s">
        <v>57</v>
      </c>
      <c r="G48" s="17" t="s">
        <v>58</v>
      </c>
      <c r="H48" s="25"/>
      <c r="I48" s="63" t="s">
        <v>25</v>
      </c>
      <c r="J48" s="64" t="s">
        <v>26</v>
      </c>
      <c r="K48" s="10">
        <v>1</v>
      </c>
      <c r="L48" s="65">
        <v>63805.31</v>
      </c>
      <c r="M48" s="65">
        <v>8294.69</v>
      </c>
      <c r="N48" s="65">
        <v>72100</v>
      </c>
      <c r="O48" s="66">
        <v>47576.99</v>
      </c>
      <c r="P48" s="65">
        <v>1478.35</v>
      </c>
      <c r="Q48" s="65">
        <v>1056.6199999999999</v>
      </c>
      <c r="R48" s="65">
        <v>50111.96</v>
      </c>
    </row>
    <row r="49" spans="1:18" ht="14.4" customHeight="1">
      <c r="A49" s="2">
        <f>ROW()-4</f>
        <v>45</v>
      </c>
      <c r="B49" s="23">
        <f>R49/L49</f>
        <v>0.78542945720348356</v>
      </c>
      <c r="C49" s="2">
        <f>IF(ISBLANK($B49),-1,IFERROR(IF($B49&gt;0.9,2,IF($B49&lt;0.3,1,0)),-1))</f>
        <v>0</v>
      </c>
      <c r="D49" s="38"/>
      <c r="E49" s="24"/>
      <c r="F49" s="62" t="s">
        <v>57</v>
      </c>
      <c r="G49" s="17" t="s">
        <v>58</v>
      </c>
      <c r="H49" s="25"/>
      <c r="I49" s="63" t="s">
        <v>25</v>
      </c>
      <c r="J49" s="64" t="s">
        <v>26</v>
      </c>
      <c r="K49" s="10">
        <v>1</v>
      </c>
      <c r="L49" s="65">
        <v>63805.31</v>
      </c>
      <c r="M49" s="65">
        <v>8294.69</v>
      </c>
      <c r="N49" s="65">
        <v>72100</v>
      </c>
      <c r="O49" s="66">
        <v>47576.99</v>
      </c>
      <c r="P49" s="65">
        <v>1478.35</v>
      </c>
      <c r="Q49" s="65">
        <v>1059.23</v>
      </c>
      <c r="R49" s="65">
        <v>50114.57</v>
      </c>
    </row>
    <row r="50" spans="1:18" ht="14.4" customHeight="1">
      <c r="A50" s="2">
        <f>ROW()-4</f>
        <v>46</v>
      </c>
      <c r="B50" s="23">
        <f>R50/L50</f>
        <v>0.78542945720348356</v>
      </c>
      <c r="C50" s="2">
        <f>IF(ISBLANK($B50),-1,IFERROR(IF($B50&gt;0.9,2,IF($B50&lt;0.3,1,0)),-1))</f>
        <v>0</v>
      </c>
      <c r="D50" s="38">
        <v>14</v>
      </c>
      <c r="E50" s="24"/>
      <c r="F50" s="62" t="s">
        <v>57</v>
      </c>
      <c r="G50" s="17" t="s">
        <v>58</v>
      </c>
      <c r="H50" s="25"/>
      <c r="I50" s="63" t="s">
        <v>25</v>
      </c>
      <c r="J50" s="64" t="s">
        <v>26</v>
      </c>
      <c r="K50" s="10">
        <v>1</v>
      </c>
      <c r="L50" s="65">
        <v>63805.31</v>
      </c>
      <c r="M50" s="65">
        <v>8294.69</v>
      </c>
      <c r="N50" s="65">
        <v>72100</v>
      </c>
      <c r="O50" s="66">
        <v>47576.99</v>
      </c>
      <c r="P50" s="65">
        <v>1478.35</v>
      </c>
      <c r="Q50" s="65">
        <v>1059.23</v>
      </c>
      <c r="R50" s="65">
        <v>50114.57</v>
      </c>
    </row>
    <row r="51" spans="1:18" ht="14.4" customHeight="1">
      <c r="A51" s="2">
        <f>ROW()-4</f>
        <v>47</v>
      </c>
      <c r="B51" s="23">
        <f>R51/L51</f>
        <v>0.78542945720348356</v>
      </c>
      <c r="C51" s="2">
        <f>IF(ISBLANK($B51),-1,IFERROR(IF($B51&gt;0.9,2,IF($B51&lt;0.3,1,0)),-1))</f>
        <v>0</v>
      </c>
      <c r="D51" s="38"/>
      <c r="E51" s="24"/>
      <c r="F51" s="62" t="s">
        <v>57</v>
      </c>
      <c r="G51" s="17" t="s">
        <v>58</v>
      </c>
      <c r="H51" s="25"/>
      <c r="I51" s="63" t="s">
        <v>25</v>
      </c>
      <c r="J51" s="64" t="s">
        <v>26</v>
      </c>
      <c r="K51" s="10">
        <v>1</v>
      </c>
      <c r="L51" s="65">
        <v>63805.31</v>
      </c>
      <c r="M51" s="65">
        <v>8294.69</v>
      </c>
      <c r="N51" s="65">
        <v>72100</v>
      </c>
      <c r="O51" s="66">
        <v>47576.99</v>
      </c>
      <c r="P51" s="65">
        <v>1478.35</v>
      </c>
      <c r="Q51" s="65">
        <v>1059.23</v>
      </c>
      <c r="R51" s="65">
        <v>50114.57</v>
      </c>
    </row>
    <row r="52" spans="1:18" ht="14.4" customHeight="1">
      <c r="A52" s="2">
        <f>ROW()-4</f>
        <v>48</v>
      </c>
      <c r="B52" s="23">
        <f>R52/L52</f>
        <v>0.78542945720348356</v>
      </c>
      <c r="C52" s="2">
        <f>IF(ISBLANK($B52),-1,IFERROR(IF($B52&gt;0.9,2,IF($B52&lt;0.3,1,0)),-1))</f>
        <v>0</v>
      </c>
      <c r="D52" s="38"/>
      <c r="E52" s="24"/>
      <c r="F52" s="62" t="s">
        <v>57</v>
      </c>
      <c r="G52" s="17" t="s">
        <v>58</v>
      </c>
      <c r="H52" s="25"/>
      <c r="I52" s="63" t="s">
        <v>25</v>
      </c>
      <c r="J52" s="64" t="s">
        <v>26</v>
      </c>
      <c r="K52" s="10">
        <v>1</v>
      </c>
      <c r="L52" s="65">
        <v>63805.31</v>
      </c>
      <c r="M52" s="65">
        <v>8294.69</v>
      </c>
      <c r="N52" s="65">
        <v>72100</v>
      </c>
      <c r="O52" s="66">
        <v>47576.99</v>
      </c>
      <c r="P52" s="65">
        <v>1478.35</v>
      </c>
      <c r="Q52" s="65">
        <v>1059.23</v>
      </c>
      <c r="R52" s="65">
        <v>50114.57</v>
      </c>
    </row>
    <row r="53" spans="1:18" ht="14.4" customHeight="1">
      <c r="A53" s="2">
        <f>ROW()-4</f>
        <v>49</v>
      </c>
      <c r="B53" s="23">
        <f>R53/L53</f>
        <v>0.78542945720348356</v>
      </c>
      <c r="C53" s="2">
        <f>IF(ISBLANK($B53),-1,IFERROR(IF($B53&gt;0.9,2,IF($B53&lt;0.3,1,0)),-1))</f>
        <v>0</v>
      </c>
      <c r="D53" s="38"/>
      <c r="E53" s="24"/>
      <c r="F53" s="62" t="s">
        <v>57</v>
      </c>
      <c r="G53" s="17" t="s">
        <v>58</v>
      </c>
      <c r="H53" s="25"/>
      <c r="I53" s="63" t="s">
        <v>25</v>
      </c>
      <c r="J53" s="64" t="s">
        <v>26</v>
      </c>
      <c r="K53" s="10">
        <v>1</v>
      </c>
      <c r="L53" s="65">
        <v>63805.31</v>
      </c>
      <c r="M53" s="65">
        <v>8294.69</v>
      </c>
      <c r="N53" s="65">
        <v>72100</v>
      </c>
      <c r="O53" s="66">
        <v>47576.99</v>
      </c>
      <c r="P53" s="65">
        <v>1478.35</v>
      </c>
      <c r="Q53" s="65">
        <v>1059.23</v>
      </c>
      <c r="R53" s="65">
        <v>50114.57</v>
      </c>
    </row>
    <row r="54" spans="1:18" ht="14.4" customHeight="1">
      <c r="A54" s="2">
        <f>ROW()-4</f>
        <v>50</v>
      </c>
      <c r="B54" s="23">
        <f>R54/L54</f>
        <v>0.78542945720348356</v>
      </c>
      <c r="C54" s="2">
        <f>IF(ISBLANK($B54),-1,IFERROR(IF($B54&gt;0.9,2,IF($B54&lt;0.3,1,0)),-1))</f>
        <v>0</v>
      </c>
      <c r="D54" s="38"/>
      <c r="E54" s="24"/>
      <c r="F54" s="62" t="s">
        <v>57</v>
      </c>
      <c r="G54" s="17" t="s">
        <v>58</v>
      </c>
      <c r="H54" s="25"/>
      <c r="I54" s="63" t="s">
        <v>25</v>
      </c>
      <c r="J54" s="64" t="s">
        <v>26</v>
      </c>
      <c r="K54" s="10">
        <v>1</v>
      </c>
      <c r="L54" s="65">
        <v>63805.31</v>
      </c>
      <c r="M54" s="65">
        <v>8294.69</v>
      </c>
      <c r="N54" s="65">
        <v>72100</v>
      </c>
      <c r="O54" s="66">
        <v>47576.99</v>
      </c>
      <c r="P54" s="65">
        <v>1478.35</v>
      </c>
      <c r="Q54" s="65">
        <v>1059.23</v>
      </c>
      <c r="R54" s="65">
        <v>50114.57</v>
      </c>
    </row>
    <row r="55" spans="1:18" ht="14.4" customHeight="1">
      <c r="A55" s="2">
        <f>ROW()-4</f>
        <v>51</v>
      </c>
      <c r="B55" s="23">
        <f>R55/L55</f>
        <v>0.78542945720348356</v>
      </c>
      <c r="C55" s="2">
        <f>IF(ISBLANK($B55),-1,IFERROR(IF($B55&gt;0.9,2,IF($B55&lt;0.3,1,0)),-1))</f>
        <v>0</v>
      </c>
      <c r="D55" s="38"/>
      <c r="E55" s="24"/>
      <c r="F55" s="62" t="s">
        <v>57</v>
      </c>
      <c r="G55" s="17" t="s">
        <v>58</v>
      </c>
      <c r="H55" s="25"/>
      <c r="I55" s="63" t="s">
        <v>25</v>
      </c>
      <c r="J55" s="64" t="s">
        <v>26</v>
      </c>
      <c r="K55" s="10">
        <v>1</v>
      </c>
      <c r="L55" s="65">
        <v>63805.31</v>
      </c>
      <c r="M55" s="65">
        <v>8294.69</v>
      </c>
      <c r="N55" s="65">
        <v>72100</v>
      </c>
      <c r="O55" s="66">
        <v>47576.99</v>
      </c>
      <c r="P55" s="65">
        <v>1478.35</v>
      </c>
      <c r="Q55" s="65">
        <v>1059.23</v>
      </c>
      <c r="R55" s="65">
        <v>50114.57</v>
      </c>
    </row>
    <row r="56" spans="1:18" ht="14.4" customHeight="1">
      <c r="A56" s="2">
        <f>ROW()-4</f>
        <v>52</v>
      </c>
      <c r="B56" s="23">
        <f>R56/L56</f>
        <v>0.78538949187771356</v>
      </c>
      <c r="C56" s="2">
        <f>IF(ISBLANK($B56),-1,IFERROR(IF($B56&gt;0.9,2,IF($B56&lt;0.3,1,0)),-1))</f>
        <v>0</v>
      </c>
      <c r="D56" s="38"/>
      <c r="E56" s="24"/>
      <c r="F56" s="62" t="s">
        <v>57</v>
      </c>
      <c r="G56" s="17" t="s">
        <v>58</v>
      </c>
      <c r="H56" s="25"/>
      <c r="I56" s="63" t="s">
        <v>25</v>
      </c>
      <c r="J56" s="64" t="s">
        <v>26</v>
      </c>
      <c r="K56" s="10">
        <v>1</v>
      </c>
      <c r="L56" s="65">
        <v>63805.31</v>
      </c>
      <c r="M56" s="65">
        <v>8294.69</v>
      </c>
      <c r="N56" s="65">
        <v>72100</v>
      </c>
      <c r="O56" s="66">
        <v>47576.99</v>
      </c>
      <c r="P56" s="65">
        <v>1478.35</v>
      </c>
      <c r="Q56" s="65">
        <v>1056.68</v>
      </c>
      <c r="R56" s="65">
        <v>50112.02</v>
      </c>
    </row>
    <row r="57" spans="1:18" ht="14.4" customHeight="1">
      <c r="A57" s="2">
        <f>ROW()-4</f>
        <v>53</v>
      </c>
      <c r="B57" s="23">
        <f>R57/L57</f>
        <v>0.78538949187771356</v>
      </c>
      <c r="C57" s="2">
        <f>IF(ISBLANK($B57),-1,IFERROR(IF($B57&gt;0.9,2,IF($B57&lt;0.3,1,0)),-1))</f>
        <v>0</v>
      </c>
      <c r="D57" s="38"/>
      <c r="E57" s="24"/>
      <c r="F57" s="62" t="s">
        <v>57</v>
      </c>
      <c r="G57" s="17" t="s">
        <v>58</v>
      </c>
      <c r="H57" s="25"/>
      <c r="I57" s="63" t="s">
        <v>25</v>
      </c>
      <c r="J57" s="64" t="s">
        <v>26</v>
      </c>
      <c r="K57" s="10">
        <v>1</v>
      </c>
      <c r="L57" s="65">
        <v>63805.31</v>
      </c>
      <c r="M57" s="65">
        <v>8294.69</v>
      </c>
      <c r="N57" s="65">
        <v>72100</v>
      </c>
      <c r="O57" s="66">
        <v>47576.99</v>
      </c>
      <c r="P57" s="65">
        <v>1478.35</v>
      </c>
      <c r="Q57" s="65">
        <v>1056.68</v>
      </c>
      <c r="R57" s="65">
        <v>50112.02</v>
      </c>
    </row>
    <row r="58" spans="1:18" ht="14.4" customHeight="1">
      <c r="A58" s="2">
        <f>ROW()-4</f>
        <v>54</v>
      </c>
      <c r="B58" s="23">
        <f>R58/L58</f>
        <v>0.78339150509440436</v>
      </c>
      <c r="C58" s="2">
        <f>IF(ISBLANK($B58),-1,IFERROR(IF($B58&gt;0.9,2,IF($B58&lt;0.3,1,0)),-1))</f>
        <v>0</v>
      </c>
      <c r="D58" s="38"/>
      <c r="E58" s="24"/>
      <c r="F58" s="62" t="s">
        <v>57</v>
      </c>
      <c r="G58" s="17" t="s">
        <v>58</v>
      </c>
      <c r="H58" s="25"/>
      <c r="I58" s="63" t="s">
        <v>25</v>
      </c>
      <c r="J58" s="64" t="s">
        <v>26</v>
      </c>
      <c r="K58" s="10">
        <v>1</v>
      </c>
      <c r="L58" s="65">
        <v>63805.3</v>
      </c>
      <c r="M58" s="65">
        <v>8294.7000000000007</v>
      </c>
      <c r="N58" s="65">
        <v>72100</v>
      </c>
      <c r="O58" s="66">
        <v>47576.99</v>
      </c>
      <c r="P58" s="65">
        <v>1350.86</v>
      </c>
      <c r="Q58" s="65">
        <v>1056.68</v>
      </c>
      <c r="R58" s="65">
        <v>49984.53</v>
      </c>
    </row>
    <row r="59" spans="1:18" ht="14.4" customHeight="1">
      <c r="A59" s="2">
        <f>ROW()-4</f>
        <v>55</v>
      </c>
      <c r="B59" s="23">
        <f>R59/L59</f>
        <v>0.80208880503993307</v>
      </c>
      <c r="C59" s="2">
        <f>IF(ISBLANK($B59),-1,IFERROR(IF($B59&gt;0.9,2,IF($B59&lt;0.3,1,0)),-1))</f>
        <v>0</v>
      </c>
      <c r="D59" s="38"/>
      <c r="E59" s="24"/>
      <c r="F59" s="62" t="s">
        <v>59</v>
      </c>
      <c r="G59" s="17" t="s">
        <v>60</v>
      </c>
      <c r="H59" s="25"/>
      <c r="I59" s="63" t="s">
        <v>25</v>
      </c>
      <c r="J59" s="64" t="s">
        <v>26</v>
      </c>
      <c r="K59" s="10">
        <v>1</v>
      </c>
      <c r="L59" s="65">
        <v>60176.99</v>
      </c>
      <c r="M59" s="65">
        <v>7823.01</v>
      </c>
      <c r="N59" s="65">
        <v>68000</v>
      </c>
      <c r="O59" s="66">
        <v>45640.34</v>
      </c>
      <c r="P59" s="65">
        <v>1418.03</v>
      </c>
      <c r="Q59" s="65">
        <v>1208.92</v>
      </c>
      <c r="R59" s="65">
        <v>48267.29</v>
      </c>
    </row>
    <row r="60" spans="1:18" ht="14.4" customHeight="1">
      <c r="A60" s="2">
        <f>ROW()-4</f>
        <v>56</v>
      </c>
      <c r="B60" s="23">
        <f>R60/L60</f>
        <v>0.79448269404925831</v>
      </c>
      <c r="C60" s="2">
        <f>IF(ISBLANK($B60),-1,IFERROR(IF($B60&gt;0.9,2,IF($B60&lt;0.3,1,0)),-1))</f>
        <v>0</v>
      </c>
      <c r="D60" s="38"/>
      <c r="E60" s="24"/>
      <c r="F60" s="62" t="s">
        <v>59</v>
      </c>
      <c r="G60" s="17" t="s">
        <v>60</v>
      </c>
      <c r="H60" s="25"/>
      <c r="I60" s="63" t="s">
        <v>25</v>
      </c>
      <c r="J60" s="64" t="s">
        <v>26</v>
      </c>
      <c r="K60" s="10">
        <v>1</v>
      </c>
      <c r="L60" s="65">
        <v>61946.9</v>
      </c>
      <c r="M60" s="65">
        <v>8053.1</v>
      </c>
      <c r="N60" s="65">
        <v>70000</v>
      </c>
      <c r="O60" s="66">
        <v>46403.85</v>
      </c>
      <c r="P60" s="65">
        <v>1558.89</v>
      </c>
      <c r="Q60" s="65">
        <v>1253</v>
      </c>
      <c r="R60" s="65">
        <v>49215.74</v>
      </c>
    </row>
    <row r="61" spans="1:18" ht="14.4" customHeight="1">
      <c r="A61" s="2">
        <f>ROW()-4</f>
        <v>57</v>
      </c>
      <c r="B61" s="23">
        <f>R61/L61</f>
        <v>0.80348806269804796</v>
      </c>
      <c r="C61" s="2">
        <f>IF(ISBLANK($B61),-1,IFERROR(IF($B61&gt;0.9,2,IF($B61&lt;0.3,1,0)),-1))</f>
        <v>0</v>
      </c>
      <c r="D61" s="38"/>
      <c r="E61" s="24"/>
      <c r="F61" s="62" t="s">
        <v>61</v>
      </c>
      <c r="G61" s="17" t="s">
        <v>62</v>
      </c>
      <c r="H61" s="25"/>
      <c r="I61" s="63" t="s">
        <v>25</v>
      </c>
      <c r="J61" s="64" t="s">
        <v>26</v>
      </c>
      <c r="K61" s="10">
        <v>1</v>
      </c>
      <c r="L61" s="65">
        <v>56637.17</v>
      </c>
      <c r="M61" s="65">
        <v>7362.83</v>
      </c>
      <c r="N61" s="65">
        <v>64000</v>
      </c>
      <c r="O61" s="66">
        <v>43450.07</v>
      </c>
      <c r="P61" s="65">
        <v>1029.1099999999999</v>
      </c>
      <c r="Q61" s="65">
        <v>1028.1099999999999</v>
      </c>
      <c r="R61" s="65">
        <v>45507.29</v>
      </c>
    </row>
    <row r="62" spans="1:18" ht="14.4" customHeight="1">
      <c r="A62" s="2">
        <f>ROW()-4</f>
        <v>58</v>
      </c>
      <c r="B62" s="23">
        <f>R62/L62</f>
        <v>0.88130902562974722</v>
      </c>
      <c r="C62" s="2">
        <f>IF(ISBLANK($B62),-1,IFERROR(IF($B62&gt;0.9,2,IF($B62&lt;0.3,1,0)),-1))</f>
        <v>0</v>
      </c>
      <c r="D62" s="38"/>
      <c r="E62" s="24"/>
      <c r="F62" s="62" t="s">
        <v>63</v>
      </c>
      <c r="G62" s="17" t="s">
        <v>64</v>
      </c>
      <c r="H62" s="25"/>
      <c r="I62" s="63" t="s">
        <v>25</v>
      </c>
      <c r="J62" s="64" t="s">
        <v>26</v>
      </c>
      <c r="K62" s="10">
        <v>1</v>
      </c>
      <c r="L62" s="65">
        <v>59292.04</v>
      </c>
      <c r="M62" s="65">
        <v>7707.96</v>
      </c>
      <c r="N62" s="65">
        <v>67000</v>
      </c>
      <c r="O62" s="66">
        <v>49852.53</v>
      </c>
      <c r="P62" s="65">
        <v>1127.98</v>
      </c>
      <c r="Q62" s="65">
        <v>1274.0999999999999</v>
      </c>
      <c r="R62" s="65">
        <v>52254.61</v>
      </c>
    </row>
    <row r="63" spans="1:18" ht="14.4" customHeight="1">
      <c r="A63" s="2">
        <f>ROW()-4</f>
        <v>59</v>
      </c>
      <c r="B63" s="23">
        <f>R63/L63</f>
        <v>0.67502689032459118</v>
      </c>
      <c r="C63" s="2">
        <f>IF(ISBLANK($B63),-1,IFERROR(IF($B63&gt;0.9,2,IF($B63&lt;0.3,1,0)),-1))</f>
        <v>0</v>
      </c>
      <c r="D63" s="38"/>
      <c r="E63" s="24"/>
      <c r="F63" s="62" t="s">
        <v>65</v>
      </c>
      <c r="G63" s="17" t="s">
        <v>62</v>
      </c>
      <c r="H63" s="25"/>
      <c r="I63" s="63" t="s">
        <v>25</v>
      </c>
      <c r="J63" s="64" t="s">
        <v>26</v>
      </c>
      <c r="K63" s="10">
        <v>1</v>
      </c>
      <c r="L63" s="65">
        <v>54424.78</v>
      </c>
      <c r="M63" s="65">
        <v>7075.22</v>
      </c>
      <c r="N63" s="65">
        <v>61500</v>
      </c>
      <c r="O63" s="66">
        <v>34603.300000000003</v>
      </c>
      <c r="P63" s="65">
        <v>997.58</v>
      </c>
      <c r="Q63" s="65">
        <v>1137.31</v>
      </c>
      <c r="R63" s="65">
        <v>36738.19</v>
      </c>
    </row>
    <row r="64" spans="1:18" ht="14.4" customHeight="1">
      <c r="A64" s="2">
        <f>ROW()-4</f>
        <v>60</v>
      </c>
      <c r="B64" s="23">
        <f>R64/L64</f>
        <v>0.70353615053774321</v>
      </c>
      <c r="C64" s="2">
        <f>IF(ISBLANK($B64),-1,IFERROR(IF($B64&gt;0.9,2,IF($B64&lt;0.3,1,0)),-1))</f>
        <v>0</v>
      </c>
      <c r="D64" s="38"/>
      <c r="E64" s="24"/>
      <c r="F64" s="62" t="s">
        <v>66</v>
      </c>
      <c r="G64" s="17" t="s">
        <v>67</v>
      </c>
      <c r="H64" s="25"/>
      <c r="I64" s="63" t="s">
        <v>25</v>
      </c>
      <c r="J64" s="64" t="s">
        <v>26</v>
      </c>
      <c r="K64" s="10">
        <v>1</v>
      </c>
      <c r="L64" s="65">
        <v>53362.83</v>
      </c>
      <c r="M64" s="65">
        <v>6937.17</v>
      </c>
      <c r="N64" s="65">
        <v>60300</v>
      </c>
      <c r="O64" s="66">
        <v>35273.599999999999</v>
      </c>
      <c r="P64" s="65">
        <v>1101.07</v>
      </c>
      <c r="Q64" s="65">
        <v>1168.01</v>
      </c>
      <c r="R64" s="65">
        <v>37542.68</v>
      </c>
    </row>
    <row r="65" spans="1:18" ht="14.4" customHeight="1">
      <c r="A65" s="2">
        <f>ROW()-4</f>
        <v>61</v>
      </c>
      <c r="B65" s="23">
        <f>R65/L65</f>
        <v>0.86950796835258959</v>
      </c>
      <c r="C65" s="2">
        <f>IF(ISBLANK($B65),-1,IFERROR(IF($B65&gt;0.9,2,IF($B65&lt;0.3,1,0)),-1))</f>
        <v>0</v>
      </c>
      <c r="D65" s="38"/>
      <c r="E65" s="24"/>
      <c r="F65" s="62" t="s">
        <v>68</v>
      </c>
      <c r="G65" s="17" t="s">
        <v>69</v>
      </c>
      <c r="H65" s="25"/>
      <c r="I65" s="63" t="s">
        <v>25</v>
      </c>
      <c r="J65" s="64" t="s">
        <v>26</v>
      </c>
      <c r="K65" s="10">
        <v>1</v>
      </c>
      <c r="L65" s="65">
        <v>53982.3</v>
      </c>
      <c r="M65" s="65">
        <v>7017.7</v>
      </c>
      <c r="N65" s="65">
        <v>61000</v>
      </c>
      <c r="O65" s="66">
        <v>44784.69</v>
      </c>
      <c r="P65" s="65">
        <v>1047.3599999999999</v>
      </c>
      <c r="Q65" s="65">
        <v>1105.99</v>
      </c>
      <c r="R65" s="65">
        <v>46938.04</v>
      </c>
    </row>
    <row r="66" spans="1:18" ht="14.4" customHeight="1">
      <c r="A66" s="2">
        <f>ROW()-4</f>
        <v>62</v>
      </c>
      <c r="B66" s="23">
        <f>R66/L66</f>
        <v>0.8131222440586755</v>
      </c>
      <c r="C66" s="2">
        <f>IF(ISBLANK($B66),-1,IFERROR(IF($B66&gt;0.9,2,IF($B66&lt;0.3,1,0)),-1))</f>
        <v>0</v>
      </c>
      <c r="D66" s="38"/>
      <c r="E66" s="24"/>
      <c r="F66" s="62" t="s">
        <v>70</v>
      </c>
      <c r="G66" s="17" t="s">
        <v>71</v>
      </c>
      <c r="H66" s="25"/>
      <c r="I66" s="63" t="s">
        <v>25</v>
      </c>
      <c r="J66" s="64" t="s">
        <v>26</v>
      </c>
      <c r="K66" s="10">
        <v>1</v>
      </c>
      <c r="L66" s="65">
        <v>47876.11</v>
      </c>
      <c r="M66" s="65">
        <v>6223.89</v>
      </c>
      <c r="N66" s="65">
        <v>54100</v>
      </c>
      <c r="O66" s="66">
        <v>37049.589999999997</v>
      </c>
      <c r="P66" s="65">
        <v>1034.1099999999999</v>
      </c>
      <c r="Q66" s="65">
        <v>845.43</v>
      </c>
      <c r="R66" s="65">
        <v>38929.129999999997</v>
      </c>
    </row>
    <row r="67" spans="1:18" ht="14.4" customHeight="1">
      <c r="A67" s="2">
        <f>ROW()-4</f>
        <v>63</v>
      </c>
      <c r="B67" s="23">
        <f>R67/L67</f>
        <v>0.75677185869341024</v>
      </c>
      <c r="C67" s="2">
        <f>IF(ISBLANK($B67),-1,IFERROR(IF($B67&gt;0.9,2,IF($B67&lt;0.3,1,0)),-1))</f>
        <v>0</v>
      </c>
      <c r="D67" s="38"/>
      <c r="E67" s="24"/>
      <c r="F67" s="62" t="s">
        <v>72</v>
      </c>
      <c r="G67" s="17" t="s">
        <v>73</v>
      </c>
      <c r="H67" s="25"/>
      <c r="I67" s="63" t="s">
        <v>25</v>
      </c>
      <c r="J67" s="64" t="s">
        <v>26</v>
      </c>
      <c r="K67" s="10">
        <v>1</v>
      </c>
      <c r="L67" s="65">
        <v>56194.69</v>
      </c>
      <c r="M67" s="65">
        <v>7305.31</v>
      </c>
      <c r="N67" s="65">
        <v>63500</v>
      </c>
      <c r="O67" s="66">
        <v>40534</v>
      </c>
      <c r="P67" s="65">
        <v>1088.02</v>
      </c>
      <c r="Q67" s="65">
        <v>904.54</v>
      </c>
      <c r="R67" s="65">
        <v>42526.559999999998</v>
      </c>
    </row>
    <row r="68" spans="1:18" ht="14.4" customHeight="1">
      <c r="A68" s="2">
        <f>ROW()-4</f>
        <v>64</v>
      </c>
      <c r="B68" s="23">
        <f>R68/L68</f>
        <v>0.8275535645880876</v>
      </c>
      <c r="C68" s="2">
        <f>IF(ISBLANK($B68),-1,IFERROR(IF($B68&gt;0.9,2,IF($B68&lt;0.3,1,0)),-1))</f>
        <v>0</v>
      </c>
      <c r="D68" s="38"/>
      <c r="E68" s="24"/>
      <c r="F68" s="62" t="s">
        <v>74</v>
      </c>
      <c r="G68" s="17" t="s">
        <v>71</v>
      </c>
      <c r="H68" s="25"/>
      <c r="I68" s="63" t="s">
        <v>25</v>
      </c>
      <c r="J68" s="64" t="s">
        <v>26</v>
      </c>
      <c r="K68" s="10">
        <v>1</v>
      </c>
      <c r="L68" s="65">
        <v>52079.65</v>
      </c>
      <c r="M68" s="65">
        <v>6770.35</v>
      </c>
      <c r="N68" s="65">
        <v>58850</v>
      </c>
      <c r="O68" s="66">
        <v>41442.94</v>
      </c>
      <c r="P68" s="65">
        <v>815.74</v>
      </c>
      <c r="Q68" s="65">
        <v>840.02</v>
      </c>
      <c r="R68" s="65">
        <v>43098.7</v>
      </c>
    </row>
    <row r="69" spans="1:18" ht="14.4" customHeight="1">
      <c r="A69" s="2">
        <f>ROW()-4</f>
        <v>65</v>
      </c>
      <c r="B69" s="23">
        <f>R69/L69</f>
        <v>0.81676035567157623</v>
      </c>
      <c r="C69" s="2">
        <f>IF(ISBLANK($B69),-1,IFERROR(IF($B69&gt;0.9,2,IF($B69&lt;0.3,1,0)),-1))</f>
        <v>0</v>
      </c>
      <c r="D69" s="38"/>
      <c r="E69" s="24"/>
      <c r="F69" s="62" t="s">
        <v>75</v>
      </c>
      <c r="G69" s="17" t="s">
        <v>71</v>
      </c>
      <c r="H69" s="25"/>
      <c r="I69" s="63" t="s">
        <v>25</v>
      </c>
      <c r="J69" s="64" t="s">
        <v>26</v>
      </c>
      <c r="K69" s="10">
        <v>1</v>
      </c>
      <c r="L69" s="65">
        <v>61061.95</v>
      </c>
      <c r="M69" s="65">
        <v>7938.05</v>
      </c>
      <c r="N69" s="65">
        <v>69000</v>
      </c>
      <c r="O69" s="66">
        <v>47962.720000000001</v>
      </c>
      <c r="P69" s="65">
        <v>887.62</v>
      </c>
      <c r="Q69" s="65">
        <v>1022.64</v>
      </c>
      <c r="R69" s="65">
        <v>49872.98</v>
      </c>
    </row>
    <row r="70" spans="1:18" ht="14.4" customHeight="1">
      <c r="A70" s="2">
        <f>ROW()-4</f>
        <v>66</v>
      </c>
      <c r="B70" s="23">
        <f>R70/L70</f>
        <v>0.86069958398614166</v>
      </c>
      <c r="C70" s="2">
        <f>IF(ISBLANK($B70),-1,IFERROR(IF($B70&gt;0.9,2,IF($B70&lt;0.3,1,0)),-1))</f>
        <v>0</v>
      </c>
      <c r="D70" s="38"/>
      <c r="E70" s="24"/>
      <c r="F70" s="62" t="s">
        <v>76</v>
      </c>
      <c r="G70" s="17" t="s">
        <v>77</v>
      </c>
      <c r="H70" s="25"/>
      <c r="I70" s="63" t="s">
        <v>25</v>
      </c>
      <c r="J70" s="64" t="s">
        <v>26</v>
      </c>
      <c r="K70" s="10">
        <v>1</v>
      </c>
      <c r="L70" s="65">
        <v>51769.91</v>
      </c>
      <c r="M70" s="65">
        <v>6730.09</v>
      </c>
      <c r="N70" s="65">
        <v>58500</v>
      </c>
      <c r="O70" s="66">
        <v>42271.64</v>
      </c>
      <c r="P70" s="65">
        <v>1050.75</v>
      </c>
      <c r="Q70" s="65">
        <v>1235.95</v>
      </c>
      <c r="R70" s="65">
        <v>44558.34</v>
      </c>
    </row>
    <row r="71" spans="1:18" ht="14.4" customHeight="1">
      <c r="A71" s="2">
        <f>ROW()-4</f>
        <v>67</v>
      </c>
      <c r="B71" s="23">
        <f>R71/L71</f>
        <v>0.64768160235963657</v>
      </c>
      <c r="C71" s="2">
        <f>IF(ISBLANK($B71),-1,IFERROR(IF($B71&gt;0.9,2,IF($B71&lt;0.3,1,0)),-1))</f>
        <v>0</v>
      </c>
      <c r="D71" s="38"/>
      <c r="E71" s="24"/>
      <c r="F71" s="62" t="s">
        <v>78</v>
      </c>
      <c r="G71" s="17" t="s">
        <v>79</v>
      </c>
      <c r="H71" s="25"/>
      <c r="I71" s="63" t="s">
        <v>31</v>
      </c>
      <c r="J71" s="64" t="s">
        <v>32</v>
      </c>
      <c r="K71" s="10">
        <v>1</v>
      </c>
      <c r="L71" s="65">
        <v>81415.929999999993</v>
      </c>
      <c r="M71" s="65">
        <v>10584.07</v>
      </c>
      <c r="N71" s="65">
        <v>92000</v>
      </c>
      <c r="O71" s="66">
        <v>50034.9</v>
      </c>
      <c r="P71" s="65">
        <v>1185.17</v>
      </c>
      <c r="Q71" s="65">
        <v>1511.53</v>
      </c>
      <c r="R71" s="65">
        <v>52731.6</v>
      </c>
    </row>
    <row r="72" spans="1:18" ht="14.4" customHeight="1">
      <c r="A72" s="2">
        <f>ROW()-4</f>
        <v>68</v>
      </c>
      <c r="B72" s="23">
        <f>R72/L72</f>
        <v>0.78154169658846473</v>
      </c>
      <c r="C72" s="2">
        <f>IF(ISBLANK($B72),-1,IFERROR(IF($B72&gt;0.9,2,IF($B72&lt;0.3,1,0)),-1))</f>
        <v>0</v>
      </c>
      <c r="D72" s="38"/>
      <c r="E72" s="24"/>
      <c r="F72" s="62" t="s">
        <v>80</v>
      </c>
      <c r="G72" s="17" t="s">
        <v>81</v>
      </c>
      <c r="H72" s="25"/>
      <c r="I72" s="63" t="s">
        <v>31</v>
      </c>
      <c r="J72" s="64" t="s">
        <v>32</v>
      </c>
      <c r="K72" s="10">
        <v>1</v>
      </c>
      <c r="L72" s="65">
        <v>61061.95</v>
      </c>
      <c r="M72" s="65">
        <v>7938.05</v>
      </c>
      <c r="N72" s="65">
        <v>69000</v>
      </c>
      <c r="O72" s="66">
        <v>45876.51</v>
      </c>
      <c r="P72" s="65">
        <v>998.1</v>
      </c>
      <c r="Q72" s="65">
        <v>847.85</v>
      </c>
      <c r="R72" s="65">
        <v>47722.46</v>
      </c>
    </row>
    <row r="73" spans="1:18" ht="14.4" customHeight="1">
      <c r="A73" s="2">
        <f>ROW()-4</f>
        <v>69</v>
      </c>
      <c r="B73" s="23">
        <f>R73/L73</f>
        <v>0.75883606811054949</v>
      </c>
      <c r="C73" s="2">
        <f>IF(ISBLANK($B73),-1,IFERROR(IF($B73&gt;0.9,2,IF($B73&lt;0.3,1,0)),-1))</f>
        <v>0</v>
      </c>
      <c r="D73" s="38"/>
      <c r="E73" s="24"/>
      <c r="F73" s="62" t="s">
        <v>80</v>
      </c>
      <c r="G73" s="17" t="s">
        <v>81</v>
      </c>
      <c r="H73" s="25"/>
      <c r="I73" s="63" t="s">
        <v>31</v>
      </c>
      <c r="J73" s="64" t="s">
        <v>32</v>
      </c>
      <c r="K73" s="10">
        <v>1</v>
      </c>
      <c r="L73" s="65">
        <v>75221.240000000005</v>
      </c>
      <c r="M73" s="65">
        <v>9778.76</v>
      </c>
      <c r="N73" s="65">
        <v>85000</v>
      </c>
      <c r="O73" s="66">
        <v>54979.49</v>
      </c>
      <c r="P73" s="65">
        <v>1103.8499999999999</v>
      </c>
      <c r="Q73" s="65">
        <v>997.25</v>
      </c>
      <c r="R73" s="65">
        <v>57080.59</v>
      </c>
    </row>
    <row r="74" spans="1:18" ht="14.4" customHeight="1">
      <c r="A74" s="2">
        <f>ROW()-4</f>
        <v>70</v>
      </c>
      <c r="B74" s="23">
        <f>R74/L74</f>
        <v>0.62011032293038182</v>
      </c>
      <c r="C74" s="2">
        <f>IF(ISBLANK($B74),-1,IFERROR(IF($B74&gt;0.9,2,IF($B74&lt;0.3,1,0)),-1))</f>
        <v>0</v>
      </c>
      <c r="D74" s="38"/>
      <c r="E74" s="24"/>
      <c r="F74" s="62" t="s">
        <v>82</v>
      </c>
      <c r="G74" s="17" t="s">
        <v>83</v>
      </c>
      <c r="H74" s="25"/>
      <c r="I74" s="63" t="s">
        <v>31</v>
      </c>
      <c r="J74" s="64" t="s">
        <v>32</v>
      </c>
      <c r="K74" s="10">
        <v>1</v>
      </c>
      <c r="L74" s="65">
        <v>97345.13</v>
      </c>
      <c r="M74" s="65">
        <v>12654.87</v>
      </c>
      <c r="N74" s="65">
        <v>110000</v>
      </c>
      <c r="O74" s="66">
        <v>57423.92</v>
      </c>
      <c r="P74" s="65">
        <v>1468.73</v>
      </c>
      <c r="Q74" s="65">
        <v>1472.07</v>
      </c>
      <c r="R74" s="65">
        <v>60364.72</v>
      </c>
    </row>
    <row r="75" spans="1:18" ht="14.4" customHeight="1">
      <c r="A75" s="2">
        <f>ROW()-4</f>
        <v>71</v>
      </c>
      <c r="B75" s="23">
        <f>R75/L75</f>
        <v>0.79144378312536845</v>
      </c>
      <c r="C75" s="2">
        <f>IF(ISBLANK($B75),-1,IFERROR(IF($B75&gt;0.9,2,IF($B75&lt;0.3,1,0)),-1))</f>
        <v>0</v>
      </c>
      <c r="D75" s="38"/>
      <c r="E75" s="24"/>
      <c r="F75" s="62" t="s">
        <v>84</v>
      </c>
      <c r="G75" s="17" t="s">
        <v>85</v>
      </c>
      <c r="H75" s="25"/>
      <c r="I75" s="63" t="s">
        <v>25</v>
      </c>
      <c r="J75" s="64" t="s">
        <v>26</v>
      </c>
      <c r="K75" s="10">
        <v>1</v>
      </c>
      <c r="L75" s="65">
        <v>55752.21</v>
      </c>
      <c r="M75" s="65">
        <v>7247.79</v>
      </c>
      <c r="N75" s="65">
        <v>63000</v>
      </c>
      <c r="O75" s="66">
        <v>41983.34</v>
      </c>
      <c r="P75" s="65">
        <v>1146.1099999999999</v>
      </c>
      <c r="Q75" s="65">
        <v>995.29</v>
      </c>
      <c r="R75" s="65">
        <v>44124.74</v>
      </c>
    </row>
    <row r="76" spans="1:18" ht="14.4" customHeight="1">
      <c r="A76" s="2">
        <f>ROW()-4</f>
        <v>72</v>
      </c>
      <c r="B76" s="23">
        <f>R76/L76</f>
        <v>0.53882104924262253</v>
      </c>
      <c r="C76" s="2">
        <f>IF(ISBLANK($B76),-1,IFERROR(IF($B76&gt;0.9,2,IF($B76&lt;0.3,1,0)),-1))</f>
        <v>0</v>
      </c>
      <c r="D76" s="38"/>
      <c r="E76" s="24"/>
      <c r="F76" s="62" t="s">
        <v>86</v>
      </c>
      <c r="G76" s="17" t="s">
        <v>87</v>
      </c>
      <c r="H76" s="25"/>
      <c r="I76" s="63" t="s">
        <v>25</v>
      </c>
      <c r="J76" s="64" t="s">
        <v>26</v>
      </c>
      <c r="K76" s="10">
        <v>1</v>
      </c>
      <c r="L76" s="65">
        <v>50442.48</v>
      </c>
      <c r="M76" s="65">
        <v>6557.52</v>
      </c>
      <c r="N76" s="65">
        <v>57000</v>
      </c>
      <c r="O76" s="66">
        <v>25003.41</v>
      </c>
      <c r="P76" s="65">
        <v>1101.07</v>
      </c>
      <c r="Q76" s="65">
        <v>1074.99</v>
      </c>
      <c r="R76" s="65">
        <v>27179.47</v>
      </c>
    </row>
    <row r="77" spans="1:18" ht="14.4" customHeight="1">
      <c r="A77" s="2">
        <f>ROW()-4</f>
        <v>73</v>
      </c>
      <c r="B77" s="23">
        <f>R77/L77</f>
        <v>0.74658870782614994</v>
      </c>
      <c r="C77" s="2">
        <f>IF(ISBLANK($B77),-1,IFERROR(IF($B77&gt;0.9,2,IF($B77&lt;0.3,1,0)),-1))</f>
        <v>0</v>
      </c>
      <c r="D77" s="38"/>
      <c r="E77" s="24"/>
      <c r="F77" s="62" t="s">
        <v>88</v>
      </c>
      <c r="G77" s="17" t="s">
        <v>48</v>
      </c>
      <c r="H77" s="25"/>
      <c r="I77" s="63" t="s">
        <v>25</v>
      </c>
      <c r="J77" s="64" t="s">
        <v>26</v>
      </c>
      <c r="K77" s="10">
        <v>1</v>
      </c>
      <c r="L77" s="65">
        <v>47787.61</v>
      </c>
      <c r="M77" s="65">
        <v>6212.39</v>
      </c>
      <c r="N77" s="65">
        <v>54000</v>
      </c>
      <c r="O77" s="66">
        <v>33356.379999999997</v>
      </c>
      <c r="P77" s="65">
        <v>1243.17</v>
      </c>
      <c r="Q77" s="65">
        <v>1078.1400000000001</v>
      </c>
      <c r="R77" s="65">
        <v>35677.69</v>
      </c>
    </row>
    <row r="78" spans="1:18" ht="14.4" customHeight="1">
      <c r="A78" s="2">
        <f>ROW()-4</f>
        <v>74</v>
      </c>
      <c r="B78" s="23">
        <f>R78/L78</f>
        <v>0.70909382497483964</v>
      </c>
      <c r="C78" s="2">
        <f>IF(ISBLANK($B78),-1,IFERROR(IF($B78&gt;0.9,2,IF($B78&lt;0.3,1,0)),-1))</f>
        <v>0</v>
      </c>
      <c r="D78" s="38"/>
      <c r="E78" s="24"/>
      <c r="F78" s="62" t="s">
        <v>89</v>
      </c>
      <c r="G78" s="17" t="s">
        <v>90</v>
      </c>
      <c r="H78" s="25"/>
      <c r="I78" s="63" t="s">
        <v>25</v>
      </c>
      <c r="J78" s="64" t="s">
        <v>26</v>
      </c>
      <c r="K78" s="10">
        <v>1</v>
      </c>
      <c r="L78" s="65">
        <v>71769.91</v>
      </c>
      <c r="M78" s="65">
        <v>9330.09</v>
      </c>
      <c r="N78" s="65">
        <v>81100</v>
      </c>
      <c r="O78" s="66">
        <v>48666.91</v>
      </c>
      <c r="P78" s="65">
        <v>1172.3599999999999</v>
      </c>
      <c r="Q78" s="65">
        <v>1052.33</v>
      </c>
      <c r="R78" s="65">
        <v>50891.6</v>
      </c>
    </row>
    <row r="79" spans="1:18" ht="14.4" customHeight="1">
      <c r="A79" s="2">
        <f>ROW()-4</f>
        <v>75</v>
      </c>
      <c r="B79" s="23">
        <f>R79/L79</f>
        <v>0.87807278916020282</v>
      </c>
      <c r="C79" s="2">
        <f>IF(ISBLANK($B79),-1,IFERROR(IF($B79&gt;0.9,2,IF($B79&lt;0.3,1,0)),-1))</f>
        <v>0</v>
      </c>
      <c r="D79" s="38"/>
      <c r="E79" s="24"/>
      <c r="F79" s="62" t="s">
        <v>91</v>
      </c>
      <c r="G79" s="17" t="s">
        <v>92</v>
      </c>
      <c r="H79" s="25"/>
      <c r="I79" s="63" t="s">
        <v>25</v>
      </c>
      <c r="J79" s="64" t="s">
        <v>26</v>
      </c>
      <c r="K79" s="10">
        <v>1</v>
      </c>
      <c r="L79" s="65">
        <v>47787.61</v>
      </c>
      <c r="M79" s="65">
        <v>6212.39</v>
      </c>
      <c r="N79" s="65">
        <v>54000</v>
      </c>
      <c r="O79" s="66">
        <v>39709.01</v>
      </c>
      <c r="P79" s="65">
        <v>1135.81</v>
      </c>
      <c r="Q79" s="65">
        <v>1116.18</v>
      </c>
      <c r="R79" s="65">
        <v>41961</v>
      </c>
    </row>
    <row r="80" spans="1:18" ht="14.4" customHeight="1">
      <c r="A80" s="2">
        <f>ROW()-4</f>
        <v>76</v>
      </c>
      <c r="B80" s="23">
        <f>R80/L80</f>
        <v>0.85517342842468691</v>
      </c>
      <c r="C80" s="2">
        <f>IF(ISBLANK($B80),-1,IFERROR(IF($B80&gt;0.9,2,IF($B80&lt;0.3,1,0)),-1))</f>
        <v>0</v>
      </c>
      <c r="D80" s="38"/>
      <c r="E80" s="24"/>
      <c r="F80" s="62" t="s">
        <v>91</v>
      </c>
      <c r="G80" s="17" t="s">
        <v>92</v>
      </c>
      <c r="H80" s="25"/>
      <c r="I80" s="63" t="s">
        <v>25</v>
      </c>
      <c r="J80" s="64" t="s">
        <v>26</v>
      </c>
      <c r="K80" s="10">
        <v>1</v>
      </c>
      <c r="L80" s="65">
        <v>45132.74</v>
      </c>
      <c r="M80" s="65">
        <v>5867.26</v>
      </c>
      <c r="N80" s="65">
        <v>51000</v>
      </c>
      <c r="O80" s="66">
        <v>36105.78</v>
      </c>
      <c r="P80" s="65">
        <v>1472.77</v>
      </c>
      <c r="Q80" s="65">
        <v>1017.77</v>
      </c>
      <c r="R80" s="65">
        <v>38596.32</v>
      </c>
    </row>
    <row r="81" spans="1:18" ht="14.4" customHeight="1">
      <c r="A81" s="2">
        <f>ROW()-4</f>
        <v>77</v>
      </c>
      <c r="B81" s="23">
        <f>R81/L81</f>
        <v>0.85779361969174828</v>
      </c>
      <c r="C81" s="2">
        <f>IF(ISBLANK($B81),-1,IFERROR(IF($B81&gt;0.9,2,IF($B81&lt;0.3,1,0)),-1))</f>
        <v>0</v>
      </c>
      <c r="D81" s="38"/>
      <c r="E81" s="31"/>
      <c r="F81" s="62" t="s">
        <v>93</v>
      </c>
      <c r="G81" s="17" t="s">
        <v>94</v>
      </c>
      <c r="H81" s="25"/>
      <c r="I81" s="63" t="s">
        <v>25</v>
      </c>
      <c r="J81" s="64" t="s">
        <v>26</v>
      </c>
      <c r="K81" s="10">
        <v>1</v>
      </c>
      <c r="L81" s="65">
        <v>48672.57</v>
      </c>
      <c r="M81" s="65">
        <v>6327.43</v>
      </c>
      <c r="N81" s="65">
        <v>55000</v>
      </c>
      <c r="O81" s="66">
        <v>39256.199999999997</v>
      </c>
      <c r="P81" s="65">
        <v>1436.84</v>
      </c>
      <c r="Q81" s="65">
        <v>1057.98</v>
      </c>
      <c r="R81" s="65">
        <v>41751.019999999997</v>
      </c>
    </row>
    <row r="82" spans="1:18" ht="14.4" customHeight="1">
      <c r="A82" s="2">
        <f>ROW()-4</f>
        <v>78</v>
      </c>
      <c r="B82" s="23">
        <f>R82/L82</f>
        <v>0.85779379592936966</v>
      </c>
      <c r="C82" s="2">
        <f>IF(ISBLANK($B82),-1,IFERROR(IF($B82&gt;0.9,2,IF($B82&lt;0.3,1,0)),-1))</f>
        <v>0</v>
      </c>
      <c r="D82" s="38"/>
      <c r="E82" s="24"/>
      <c r="F82" s="62" t="s">
        <v>93</v>
      </c>
      <c r="G82" s="17" t="s">
        <v>94</v>
      </c>
      <c r="H82" s="25"/>
      <c r="I82" s="63" t="s">
        <v>25</v>
      </c>
      <c r="J82" s="64" t="s">
        <v>26</v>
      </c>
      <c r="K82" s="10">
        <v>1</v>
      </c>
      <c r="L82" s="65">
        <v>48672.56</v>
      </c>
      <c r="M82" s="65">
        <v>6327.44</v>
      </c>
      <c r="N82" s="65">
        <v>55000</v>
      </c>
      <c r="O82" s="66">
        <v>39256.199999999997</v>
      </c>
      <c r="P82" s="65">
        <v>1436.84</v>
      </c>
      <c r="Q82" s="65">
        <v>1057.98</v>
      </c>
      <c r="R82" s="65">
        <v>41751.019999999997</v>
      </c>
    </row>
    <row r="83" spans="1:18" ht="14.4" customHeight="1">
      <c r="A83" s="2">
        <f>ROW()-4</f>
        <v>79</v>
      </c>
      <c r="B83" s="23">
        <f>R83/L83</f>
        <v>0.67675591841894644</v>
      </c>
      <c r="C83" s="2">
        <f>IF(ISBLANK($B83),-1,IFERROR(IF($B83&gt;0.9,2,IF($B83&lt;0.3,1,0)),-1))</f>
        <v>0</v>
      </c>
      <c r="D83" s="38"/>
      <c r="F83" s="62" t="s">
        <v>95</v>
      </c>
      <c r="G83" s="17" t="s">
        <v>96</v>
      </c>
      <c r="H83" s="25"/>
      <c r="I83" s="63" t="s">
        <v>25</v>
      </c>
      <c r="J83" s="64" t="s">
        <v>26</v>
      </c>
      <c r="K83" s="10">
        <v>1</v>
      </c>
      <c r="L83" s="65">
        <v>56637.17</v>
      </c>
      <c r="M83" s="65">
        <v>7362.83</v>
      </c>
      <c r="N83" s="65">
        <v>64000</v>
      </c>
      <c r="O83" s="66">
        <v>36207.54</v>
      </c>
      <c r="P83" s="65">
        <v>960.4</v>
      </c>
      <c r="Q83" s="65">
        <v>1161.5999999999999</v>
      </c>
      <c r="R83" s="65">
        <v>38329.54</v>
      </c>
    </row>
    <row r="84" spans="1:18" ht="14.4" customHeight="1">
      <c r="A84" s="2">
        <f>ROW()-4</f>
        <v>80</v>
      </c>
      <c r="B84" s="23">
        <f>R84/L84</f>
        <v>0.50736998713709891</v>
      </c>
      <c r="C84" s="2">
        <f>IF(ISBLANK($B84),-1,IFERROR(IF($B84&gt;0.9,2,IF($B84&lt;0.3,1,0)),-1))</f>
        <v>0</v>
      </c>
      <c r="D84" s="38"/>
      <c r="F84" s="62" t="s">
        <v>97</v>
      </c>
      <c r="G84" s="17" t="s">
        <v>98</v>
      </c>
      <c r="H84" s="25"/>
      <c r="I84" s="63" t="s">
        <v>99</v>
      </c>
      <c r="J84" s="64" t="s">
        <v>100</v>
      </c>
      <c r="K84" s="10">
        <v>1</v>
      </c>
      <c r="L84" s="65">
        <v>188495.58</v>
      </c>
      <c r="M84" s="65">
        <v>24504.42</v>
      </c>
      <c r="N84" s="65">
        <v>213000</v>
      </c>
      <c r="O84" s="66">
        <v>91752.34</v>
      </c>
      <c r="P84" s="65">
        <v>1781</v>
      </c>
      <c r="Q84" s="65">
        <v>2103.66</v>
      </c>
      <c r="R84" s="65">
        <v>95637</v>
      </c>
    </row>
    <row r="85" spans="1:18" ht="14.4" customHeight="1">
      <c r="A85" s="2">
        <f>ROW()-4</f>
        <v>81</v>
      </c>
      <c r="B85" s="23">
        <f>R85/L85</f>
        <v>0.50737001405391113</v>
      </c>
      <c r="C85" s="2">
        <f>IF(ISBLANK($B85),-1,IFERROR(IF($B85&gt;0.9,2,IF($B85&lt;0.3,1,0)),-1))</f>
        <v>0</v>
      </c>
      <c r="D85" s="38"/>
      <c r="F85" s="62" t="s">
        <v>97</v>
      </c>
      <c r="G85" s="17" t="s">
        <v>98</v>
      </c>
      <c r="H85" s="25"/>
      <c r="I85" s="63" t="s">
        <v>99</v>
      </c>
      <c r="J85" s="64" t="s">
        <v>100</v>
      </c>
      <c r="K85" s="10">
        <v>1</v>
      </c>
      <c r="L85" s="65">
        <v>188495.57</v>
      </c>
      <c r="M85" s="65">
        <v>24504.43</v>
      </c>
      <c r="N85" s="65">
        <v>213000</v>
      </c>
      <c r="O85" s="66">
        <v>91752.34</v>
      </c>
      <c r="P85" s="65">
        <v>1781</v>
      </c>
      <c r="Q85" s="65">
        <v>2103.66</v>
      </c>
      <c r="R85" s="65">
        <v>95637</v>
      </c>
    </row>
    <row r="86" spans="1:18" ht="14.4" customHeight="1">
      <c r="A86" s="2">
        <f>ROW()-4</f>
        <v>82</v>
      </c>
      <c r="B86" s="23">
        <f>R86/L86</f>
        <v>0.57569405606069313</v>
      </c>
      <c r="C86" s="2">
        <f>IF(ISBLANK($B86),-1,IFERROR(IF($B86&gt;0.9,2,IF($B86&lt;0.3,1,0)),-1))</f>
        <v>0</v>
      </c>
      <c r="D86" s="38"/>
      <c r="F86" s="62" t="s">
        <v>97</v>
      </c>
      <c r="G86" s="17" t="s">
        <v>98</v>
      </c>
      <c r="H86" s="25"/>
      <c r="I86" s="63" t="s">
        <v>99</v>
      </c>
      <c r="J86" s="64" t="s">
        <v>100</v>
      </c>
      <c r="K86" s="10">
        <v>1</v>
      </c>
      <c r="L86" s="65">
        <v>129203.54</v>
      </c>
      <c r="M86" s="65">
        <v>16796.46</v>
      </c>
      <c r="N86" s="65">
        <v>146000</v>
      </c>
      <c r="O86" s="66">
        <v>71017.320000000007</v>
      </c>
      <c r="P86" s="65">
        <v>1646</v>
      </c>
      <c r="Q86" s="65">
        <v>1718.39</v>
      </c>
      <c r="R86" s="65">
        <v>74381.710000000006</v>
      </c>
    </row>
    <row r="87" spans="1:18" ht="14.4" customHeight="1">
      <c r="A87" s="2">
        <f>ROW()-4</f>
        <v>83</v>
      </c>
      <c r="B87" s="23">
        <f>R87/L87</f>
        <v>0.57569405606069313</v>
      </c>
      <c r="C87" s="2">
        <f>IF(ISBLANK($B87),-1,IFERROR(IF($B87&gt;0.9,2,IF($B87&lt;0.3,1,0)),-1))</f>
        <v>0</v>
      </c>
      <c r="D87" s="38"/>
      <c r="F87" s="62" t="s">
        <v>97</v>
      </c>
      <c r="G87" s="17" t="s">
        <v>98</v>
      </c>
      <c r="H87" s="25"/>
      <c r="I87" s="63" t="s">
        <v>99</v>
      </c>
      <c r="J87" s="64" t="s">
        <v>100</v>
      </c>
      <c r="K87" s="10">
        <v>1</v>
      </c>
      <c r="L87" s="65">
        <v>129203.54</v>
      </c>
      <c r="M87" s="65">
        <v>16796.46</v>
      </c>
      <c r="N87" s="65">
        <v>146000</v>
      </c>
      <c r="O87" s="66">
        <v>71017.320000000007</v>
      </c>
      <c r="P87" s="65">
        <v>1646</v>
      </c>
      <c r="Q87" s="65">
        <v>1718.39</v>
      </c>
      <c r="R87" s="65">
        <v>74381.710000000006</v>
      </c>
    </row>
    <row r="88" spans="1:18" ht="14.4" customHeight="1">
      <c r="A88" s="2">
        <f>ROW()-4</f>
        <v>84</v>
      </c>
      <c r="B88" s="23">
        <f>R88/L88</f>
        <v>0.58025047929150619</v>
      </c>
      <c r="C88" s="2">
        <f>IF(ISBLANK($B88),-1,IFERROR(IF($B88&gt;0.9,2,IF($B88&lt;0.3,1,0)),-1))</f>
        <v>0</v>
      </c>
      <c r="D88" s="38"/>
      <c r="F88" s="62" t="s">
        <v>97</v>
      </c>
      <c r="G88" s="17" t="s">
        <v>98</v>
      </c>
      <c r="H88" s="25"/>
      <c r="I88" s="63" t="s">
        <v>99</v>
      </c>
      <c r="J88" s="64" t="s">
        <v>100</v>
      </c>
      <c r="K88" s="10">
        <v>1</v>
      </c>
      <c r="L88" s="65">
        <v>148672.57</v>
      </c>
      <c r="M88" s="65">
        <v>19327.43</v>
      </c>
      <c r="N88" s="65">
        <v>168000</v>
      </c>
      <c r="O88" s="66">
        <v>82553.59</v>
      </c>
      <c r="P88" s="65">
        <v>1781</v>
      </c>
      <c r="Q88" s="65">
        <v>1932.74</v>
      </c>
      <c r="R88" s="65">
        <v>86267.33</v>
      </c>
    </row>
    <row r="89" spans="1:18" ht="14.4" customHeight="1">
      <c r="A89" s="2">
        <f>ROW()-4</f>
        <v>85</v>
      </c>
      <c r="B89" s="23">
        <f>R89/L89</f>
        <v>0.58025051832026031</v>
      </c>
      <c r="C89" s="2">
        <f>IF(ISBLANK($B89),-1,IFERROR(IF($B89&gt;0.9,2,IF($B89&lt;0.3,1,0)),-1))</f>
        <v>0</v>
      </c>
      <c r="D89" s="38"/>
      <c r="F89" s="62" t="s">
        <v>97</v>
      </c>
      <c r="G89" s="17" t="s">
        <v>98</v>
      </c>
      <c r="H89" s="25"/>
      <c r="I89" s="63" t="s">
        <v>99</v>
      </c>
      <c r="J89" s="64" t="s">
        <v>100</v>
      </c>
      <c r="K89" s="10">
        <v>1</v>
      </c>
      <c r="L89" s="65">
        <v>148672.56</v>
      </c>
      <c r="M89" s="65">
        <v>19327.439999999999</v>
      </c>
      <c r="N89" s="65">
        <v>168000</v>
      </c>
      <c r="O89" s="66">
        <v>82553.59</v>
      </c>
      <c r="P89" s="65">
        <v>1781</v>
      </c>
      <c r="Q89" s="65">
        <v>1932.74</v>
      </c>
      <c r="R89" s="65">
        <v>86267.33</v>
      </c>
    </row>
    <row r="90" spans="1:18" ht="14.4" customHeight="1">
      <c r="A90" s="2">
        <f>ROW()-4</f>
        <v>86</v>
      </c>
      <c r="B90" s="23">
        <f>R90/L90</f>
        <v>0.80019062809337482</v>
      </c>
      <c r="C90" s="2">
        <f>IF(ISBLANK($B90),-1,IFERROR(IF($B90&gt;0.9,2,IF($B90&lt;0.3,1,0)),-1))</f>
        <v>0</v>
      </c>
      <c r="D90" s="38"/>
      <c r="F90" s="62" t="s">
        <v>101</v>
      </c>
      <c r="G90" s="17" t="s">
        <v>96</v>
      </c>
      <c r="H90" s="25"/>
      <c r="I90" s="63" t="s">
        <v>31</v>
      </c>
      <c r="J90" s="64" t="s">
        <v>32</v>
      </c>
      <c r="K90" s="10">
        <v>1</v>
      </c>
      <c r="L90" s="65">
        <v>86283.19</v>
      </c>
      <c r="M90" s="65">
        <v>11216.81</v>
      </c>
      <c r="N90" s="65">
        <v>97500</v>
      </c>
      <c r="O90" s="66">
        <v>66213.7</v>
      </c>
      <c r="P90" s="65">
        <v>1240.43</v>
      </c>
      <c r="Q90" s="65">
        <v>1588.87</v>
      </c>
      <c r="R90" s="65">
        <v>69043</v>
      </c>
    </row>
    <row r="91" spans="1:18" ht="14.4" customHeight="1">
      <c r="A91" s="2">
        <f>ROW()-4</f>
        <v>87</v>
      </c>
      <c r="B91" s="23">
        <f>R91/L91</f>
        <v>0.86231734553538841</v>
      </c>
      <c r="C91" s="2">
        <f>IF(ISBLANK($B91),-1,IFERROR(IF($B91&gt;0.9,2,IF($B91&lt;0.3,1,0)),-1))</f>
        <v>0</v>
      </c>
      <c r="D91" s="38"/>
      <c r="F91" s="62" t="s">
        <v>102</v>
      </c>
      <c r="G91" s="17" t="s">
        <v>103</v>
      </c>
      <c r="H91" s="25"/>
      <c r="I91" s="63" t="s">
        <v>25</v>
      </c>
      <c r="J91" s="64" t="s">
        <v>26</v>
      </c>
      <c r="K91" s="10">
        <v>1</v>
      </c>
      <c r="L91" s="65">
        <v>54867.26</v>
      </c>
      <c r="M91" s="65">
        <v>7132.74</v>
      </c>
      <c r="N91" s="65">
        <v>62000</v>
      </c>
      <c r="O91" s="66">
        <v>44681.24</v>
      </c>
      <c r="P91" s="65">
        <v>1431.03</v>
      </c>
      <c r="Q91" s="65">
        <v>1200.72</v>
      </c>
      <c r="R91" s="65">
        <v>47312.99</v>
      </c>
    </row>
    <row r="92" spans="1:18" ht="14.4" customHeight="1">
      <c r="A92" s="2">
        <f>ROW()-4</f>
        <v>88</v>
      </c>
      <c r="B92" s="23">
        <f>R92/L92</f>
        <v>0.86231734553538841</v>
      </c>
      <c r="C92" s="2">
        <f>IF(ISBLANK($B92),-1,IFERROR(IF($B92&gt;0.9,2,IF($B92&lt;0.3,1,0)),-1))</f>
        <v>0</v>
      </c>
      <c r="D92" s="38"/>
      <c r="F92" s="62" t="s">
        <v>102</v>
      </c>
      <c r="G92" s="17" t="s">
        <v>103</v>
      </c>
      <c r="H92" s="25"/>
      <c r="I92" s="63" t="s">
        <v>25</v>
      </c>
      <c r="J92" s="64" t="s">
        <v>26</v>
      </c>
      <c r="K92" s="10">
        <v>1</v>
      </c>
      <c r="L92" s="65">
        <v>54867.26</v>
      </c>
      <c r="M92" s="65">
        <v>7132.74</v>
      </c>
      <c r="N92" s="65">
        <v>62000</v>
      </c>
      <c r="O92" s="66">
        <v>44681.24</v>
      </c>
      <c r="P92" s="65">
        <v>1431.03</v>
      </c>
      <c r="Q92" s="65">
        <v>1200.72</v>
      </c>
      <c r="R92" s="65">
        <v>47312.99</v>
      </c>
    </row>
    <row r="93" spans="1:18" ht="14.4" customHeight="1">
      <c r="A93" s="2">
        <f>ROW()-4</f>
        <v>89</v>
      </c>
      <c r="B93" s="23">
        <f>R93/L93</f>
        <v>0.86231734553538841</v>
      </c>
      <c r="C93" s="2">
        <f>IF(ISBLANK($B93),-1,IFERROR(IF($B93&gt;0.9,2,IF($B93&lt;0.3,1,0)),-1))</f>
        <v>0</v>
      </c>
      <c r="D93" s="38"/>
      <c r="F93" s="62" t="s">
        <v>102</v>
      </c>
      <c r="G93" s="17" t="s">
        <v>103</v>
      </c>
      <c r="H93" s="25"/>
      <c r="I93" s="63" t="s">
        <v>25</v>
      </c>
      <c r="J93" s="64" t="s">
        <v>26</v>
      </c>
      <c r="K93" s="10">
        <v>1</v>
      </c>
      <c r="L93" s="65">
        <v>54867.26</v>
      </c>
      <c r="M93" s="65">
        <v>7132.74</v>
      </c>
      <c r="N93" s="65">
        <v>62000</v>
      </c>
      <c r="O93" s="66">
        <v>44681.24</v>
      </c>
      <c r="P93" s="65">
        <v>1431.03</v>
      </c>
      <c r="Q93" s="65">
        <v>1200.72</v>
      </c>
      <c r="R93" s="65">
        <v>47312.99</v>
      </c>
    </row>
    <row r="94" spans="1:18" ht="14.4" customHeight="1">
      <c r="A94" s="2">
        <f>ROW()-4</f>
        <v>90</v>
      </c>
      <c r="B94" s="23">
        <f>R94/L94</f>
        <v>0.86231732044161136</v>
      </c>
      <c r="C94" s="2">
        <f>IF(ISBLANK($B94),-1,IFERROR(IF($B94&gt;0.9,2,IF($B94&lt;0.3,1,0)),-1))</f>
        <v>0</v>
      </c>
      <c r="D94" s="38"/>
      <c r="F94" s="62" t="s">
        <v>102</v>
      </c>
      <c r="G94" s="17" t="s">
        <v>103</v>
      </c>
      <c r="H94" s="25"/>
      <c r="I94" s="63" t="s">
        <v>25</v>
      </c>
      <c r="J94" s="64" t="s">
        <v>26</v>
      </c>
      <c r="K94" s="10">
        <v>1</v>
      </c>
      <c r="L94" s="65">
        <v>54867.25</v>
      </c>
      <c r="M94" s="65">
        <v>7132.75</v>
      </c>
      <c r="N94" s="65">
        <v>62000</v>
      </c>
      <c r="O94" s="66">
        <v>44681.23</v>
      </c>
      <c r="P94" s="65">
        <v>1431.03</v>
      </c>
      <c r="Q94" s="65">
        <v>1200.72</v>
      </c>
      <c r="R94" s="65">
        <v>47312.98</v>
      </c>
    </row>
    <row r="95" spans="1:18" ht="14.4" customHeight="1">
      <c r="A95" s="2">
        <f>ROW()-4</f>
        <v>91</v>
      </c>
      <c r="B95" s="23">
        <f>R95/L95</f>
        <v>0.77104080311832723</v>
      </c>
      <c r="C95" s="2">
        <f>IF(ISBLANK($B95),-1,IFERROR(IF($B95&gt;0.9,2,IF($B95&lt;0.3,1,0)),-1))</f>
        <v>0</v>
      </c>
      <c r="D95" s="38"/>
      <c r="F95" s="62" t="s">
        <v>104</v>
      </c>
      <c r="G95" s="17" t="s">
        <v>79</v>
      </c>
      <c r="H95" s="25"/>
      <c r="I95" s="63" t="s">
        <v>31</v>
      </c>
      <c r="J95" s="64" t="s">
        <v>32</v>
      </c>
      <c r="K95" s="10">
        <v>1</v>
      </c>
      <c r="L95" s="65">
        <v>135398.23000000001</v>
      </c>
      <c r="M95" s="65">
        <v>17601.77</v>
      </c>
      <c r="N95" s="65">
        <v>153000</v>
      </c>
      <c r="O95" s="66">
        <v>100669.03</v>
      </c>
      <c r="P95" s="65">
        <v>1728.49</v>
      </c>
      <c r="Q95" s="65">
        <v>2000.04</v>
      </c>
      <c r="R95" s="65">
        <v>104397.56</v>
      </c>
    </row>
    <row r="96" spans="1:18" ht="14.4" customHeight="1">
      <c r="A96" s="2">
        <f>ROW()-4</f>
        <v>92</v>
      </c>
      <c r="B96" s="23">
        <f>R96/L96</f>
        <v>0.78138710202117201</v>
      </c>
      <c r="C96" s="2">
        <f>IF(ISBLANK($B96),-1,IFERROR(IF($B96&gt;0.9,2,IF($B96&lt;0.3,1,0)),-1))</f>
        <v>0</v>
      </c>
      <c r="D96" s="38"/>
      <c r="F96" s="62" t="s">
        <v>104</v>
      </c>
      <c r="G96" s="17" t="s">
        <v>79</v>
      </c>
      <c r="H96" s="25"/>
      <c r="I96" s="63" t="s">
        <v>31</v>
      </c>
      <c r="J96" s="64" t="s">
        <v>32</v>
      </c>
      <c r="K96" s="10">
        <v>1</v>
      </c>
      <c r="L96" s="65">
        <v>125663.72</v>
      </c>
      <c r="M96" s="65">
        <v>16336.28</v>
      </c>
      <c r="N96" s="65">
        <v>142000</v>
      </c>
      <c r="O96" s="66">
        <v>94642.44</v>
      </c>
      <c r="P96" s="65">
        <v>1668.42</v>
      </c>
      <c r="Q96" s="65">
        <v>1881.15</v>
      </c>
      <c r="R96" s="65">
        <v>98192.01</v>
      </c>
    </row>
    <row r="97" spans="1:18" ht="14.4" customHeight="1">
      <c r="A97" s="2">
        <f>ROW()-4</f>
        <v>93</v>
      </c>
      <c r="B97" s="23">
        <f>R97/L97</f>
        <v>0.72686498286956547</v>
      </c>
      <c r="C97" s="2">
        <f>IF(ISBLANK($B97),-1,IFERROR(IF($B97&gt;0.9,2,IF($B97&lt;0.3,1,0)),-1))</f>
        <v>0</v>
      </c>
      <c r="D97" s="38"/>
      <c r="F97" s="62" t="s">
        <v>105</v>
      </c>
      <c r="G97" s="17" t="s">
        <v>79</v>
      </c>
      <c r="H97" s="25"/>
      <c r="I97" s="63" t="s">
        <v>25</v>
      </c>
      <c r="J97" s="64" t="s">
        <v>26</v>
      </c>
      <c r="K97" s="10">
        <v>1</v>
      </c>
      <c r="L97" s="65">
        <v>54867.26</v>
      </c>
      <c r="M97" s="65">
        <v>7132.74</v>
      </c>
      <c r="N97" s="65">
        <v>62000</v>
      </c>
      <c r="O97" s="66">
        <v>37700.61</v>
      </c>
      <c r="P97" s="65">
        <v>1101.07</v>
      </c>
      <c r="Q97" s="65">
        <v>1079.4100000000001</v>
      </c>
      <c r="R97" s="65">
        <v>39881.089999999997</v>
      </c>
    </row>
    <row r="98" spans="1:18" ht="14.4" customHeight="1">
      <c r="A98" s="2">
        <f>ROW()-4</f>
        <v>94</v>
      </c>
      <c r="B98" s="23">
        <f>R98/L98</f>
        <v>0.7777390267695703</v>
      </c>
      <c r="C98" s="2">
        <f>IF(ISBLANK($B98),-1,IFERROR(IF($B98&gt;0.9,2,IF($B98&lt;0.3,1,0)),-1))</f>
        <v>0</v>
      </c>
      <c r="D98" s="38"/>
      <c r="F98" s="62" t="s">
        <v>106</v>
      </c>
      <c r="G98" s="17" t="s">
        <v>107</v>
      </c>
      <c r="H98" s="25"/>
      <c r="I98" s="63" t="s">
        <v>25</v>
      </c>
      <c r="J98" s="64" t="s">
        <v>26</v>
      </c>
      <c r="K98" s="10">
        <v>1</v>
      </c>
      <c r="L98" s="65">
        <v>77876.11</v>
      </c>
      <c r="M98" s="65">
        <v>10123.89</v>
      </c>
      <c r="N98" s="65">
        <v>88000</v>
      </c>
      <c r="O98" s="66">
        <v>57597.93</v>
      </c>
      <c r="P98" s="65">
        <v>1207.94</v>
      </c>
      <c r="Q98" s="65">
        <v>1761.42</v>
      </c>
      <c r="R98" s="65">
        <v>60567.29</v>
      </c>
    </row>
    <row r="99" spans="1:18" ht="14.4" customHeight="1">
      <c r="A99" s="2">
        <f>ROW()-4</f>
        <v>95</v>
      </c>
      <c r="B99" s="23">
        <f>R99/L99</f>
        <v>0.7777390267695703</v>
      </c>
      <c r="C99" s="2">
        <f>IF(ISBLANK($B99),-1,IFERROR(IF($B99&gt;0.9,2,IF($B99&lt;0.3,1,0)),-1))</f>
        <v>0</v>
      </c>
      <c r="D99" s="38"/>
      <c r="F99" s="62" t="s">
        <v>106</v>
      </c>
      <c r="G99" s="17" t="s">
        <v>107</v>
      </c>
      <c r="H99" s="25"/>
      <c r="I99" s="63" t="s">
        <v>25</v>
      </c>
      <c r="J99" s="64" t="s">
        <v>26</v>
      </c>
      <c r="K99" s="10">
        <v>1</v>
      </c>
      <c r="L99" s="65">
        <v>77876.11</v>
      </c>
      <c r="M99" s="65">
        <v>10123.89</v>
      </c>
      <c r="N99" s="65">
        <v>88000</v>
      </c>
      <c r="O99" s="66">
        <v>57597.93</v>
      </c>
      <c r="P99" s="65">
        <v>1207.94</v>
      </c>
      <c r="Q99" s="65">
        <v>1761.42</v>
      </c>
      <c r="R99" s="65">
        <v>60567.29</v>
      </c>
    </row>
    <row r="100" spans="1:18" ht="14.4" customHeight="1">
      <c r="A100" s="2">
        <f>ROW()-4</f>
        <v>96</v>
      </c>
      <c r="B100" s="23">
        <f>R100/L100</f>
        <v>0.86134359578869513</v>
      </c>
      <c r="C100" s="2">
        <f>IF(ISBLANK($B100),-1,IFERROR(IF($B100&gt;0.9,2,IF($B100&lt;0.3,1,0)),-1))</f>
        <v>0</v>
      </c>
      <c r="D100" s="38"/>
      <c r="F100" s="62" t="s">
        <v>106</v>
      </c>
      <c r="G100" s="17" t="s">
        <v>107</v>
      </c>
      <c r="H100" s="25"/>
      <c r="I100" s="63" t="s">
        <v>25</v>
      </c>
      <c r="J100" s="64" t="s">
        <v>26</v>
      </c>
      <c r="K100" s="10">
        <v>1</v>
      </c>
      <c r="L100" s="65">
        <v>77876.100000000006</v>
      </c>
      <c r="M100" s="65">
        <v>10123.9</v>
      </c>
      <c r="N100" s="65">
        <v>88000</v>
      </c>
      <c r="O100" s="66">
        <v>64070.5</v>
      </c>
      <c r="P100" s="65">
        <v>1207.94</v>
      </c>
      <c r="Q100" s="65">
        <v>1799.64</v>
      </c>
      <c r="R100" s="65">
        <v>67078.080000000002</v>
      </c>
    </row>
    <row r="101" spans="1:18" ht="14.4" customHeight="1">
      <c r="A101" s="2">
        <f>ROW()-4</f>
        <v>97</v>
      </c>
      <c r="B101" s="23">
        <f>R101/L101</f>
        <v>0.89232251348141256</v>
      </c>
      <c r="C101" s="2">
        <f>IF(ISBLANK($B101),-1,IFERROR(IF($B101&gt;0.9,2,IF($B101&lt;0.3,1,0)),-1))</f>
        <v>0</v>
      </c>
      <c r="D101" s="38"/>
      <c r="F101" s="62" t="s">
        <v>108</v>
      </c>
      <c r="G101" s="17" t="s">
        <v>87</v>
      </c>
      <c r="H101" s="25"/>
      <c r="I101" s="63" t="s">
        <v>25</v>
      </c>
      <c r="J101" s="64" t="s">
        <v>26</v>
      </c>
      <c r="K101" s="10">
        <v>1</v>
      </c>
      <c r="L101" s="65">
        <v>48672.57</v>
      </c>
      <c r="M101" s="65">
        <v>6327.43</v>
      </c>
      <c r="N101" s="65">
        <v>55000</v>
      </c>
      <c r="O101" s="66">
        <v>41239.620000000003</v>
      </c>
      <c r="P101" s="65">
        <v>1230.3599999999999</v>
      </c>
      <c r="Q101" s="65">
        <v>961.65</v>
      </c>
      <c r="R101" s="65">
        <v>43431.63</v>
      </c>
    </row>
    <row r="102" spans="1:18" ht="14.4" customHeight="1">
      <c r="A102" s="2">
        <f>ROW()-4</f>
        <v>98</v>
      </c>
      <c r="B102" s="23">
        <f>R102/L102</f>
        <v>0.72009267994294834</v>
      </c>
      <c r="C102" s="2">
        <f>IF(ISBLANK($B102),-1,IFERROR(IF($B102&gt;0.9,2,IF($B102&lt;0.3,1,0)),-1))</f>
        <v>0</v>
      </c>
      <c r="D102" s="38"/>
      <c r="F102" s="62" t="s">
        <v>109</v>
      </c>
      <c r="G102" s="17" t="s">
        <v>110</v>
      </c>
      <c r="H102" s="25"/>
      <c r="I102" s="63" t="s">
        <v>25</v>
      </c>
      <c r="J102" s="64" t="s">
        <v>26</v>
      </c>
      <c r="K102" s="10">
        <v>1</v>
      </c>
      <c r="L102" s="65">
        <v>60176.99</v>
      </c>
      <c r="M102" s="65">
        <v>7823.01</v>
      </c>
      <c r="N102" s="65">
        <v>68000</v>
      </c>
      <c r="O102" s="66">
        <v>41205.08</v>
      </c>
      <c r="P102" s="65">
        <v>997.06</v>
      </c>
      <c r="Q102" s="65">
        <v>1130.8699999999999</v>
      </c>
      <c r="R102" s="65">
        <v>43333.01</v>
      </c>
    </row>
    <row r="103" spans="1:18" ht="14.4" customHeight="1">
      <c r="A103" s="2">
        <f>ROW()-4</f>
        <v>99</v>
      </c>
      <c r="B103" s="23">
        <f>R103/L103</f>
        <v>0.82869656669476832</v>
      </c>
      <c r="C103" s="2">
        <f>IF(ISBLANK($B103),-1,IFERROR(IF($B103&gt;0.9,2,IF($B103&lt;0.3,1,0)),-1))</f>
        <v>0</v>
      </c>
      <c r="D103" s="38"/>
      <c r="F103" s="62" t="s">
        <v>111</v>
      </c>
      <c r="G103" s="17" t="s">
        <v>110</v>
      </c>
      <c r="H103" s="25"/>
      <c r="I103" s="63" t="s">
        <v>31</v>
      </c>
      <c r="J103" s="64" t="s">
        <v>32</v>
      </c>
      <c r="K103" s="10">
        <v>1</v>
      </c>
      <c r="L103" s="65">
        <v>87610.62</v>
      </c>
      <c r="M103" s="65">
        <v>11389.38</v>
      </c>
      <c r="N103" s="65">
        <v>99000</v>
      </c>
      <c r="O103" s="66">
        <v>69939.73</v>
      </c>
      <c r="P103" s="65">
        <v>1185.17</v>
      </c>
      <c r="Q103" s="65">
        <v>1477.72</v>
      </c>
      <c r="R103" s="65">
        <v>72602.62</v>
      </c>
    </row>
    <row r="104" spans="1:18" ht="14.4" customHeight="1">
      <c r="A104" s="2">
        <f>ROW()-4</f>
        <v>100</v>
      </c>
      <c r="B104" s="23">
        <f>R104/L104</f>
        <v>0.80374389771147314</v>
      </c>
      <c r="C104" s="2">
        <f>IF(ISBLANK($B104),-1,IFERROR(IF($B104&gt;0.9,2,IF($B104&lt;0.3,1,0)),-1))</f>
        <v>0</v>
      </c>
      <c r="D104" s="38"/>
      <c r="F104" s="62" t="s">
        <v>112</v>
      </c>
      <c r="G104" s="17" t="s">
        <v>41</v>
      </c>
      <c r="H104" s="25"/>
      <c r="I104" s="63" t="s">
        <v>25</v>
      </c>
      <c r="J104" s="64" t="s">
        <v>26</v>
      </c>
      <c r="K104" s="10">
        <v>1</v>
      </c>
      <c r="L104" s="65">
        <v>86725.66</v>
      </c>
      <c r="M104" s="65">
        <v>11274.34</v>
      </c>
      <c r="N104" s="65">
        <v>98000</v>
      </c>
      <c r="O104" s="66">
        <v>66723.67</v>
      </c>
      <c r="P104" s="65">
        <v>1182.32</v>
      </c>
      <c r="Q104" s="65">
        <v>1799.23</v>
      </c>
      <c r="R104" s="65">
        <v>69705.22</v>
      </c>
    </row>
    <row r="105" spans="1:18" ht="14.4" customHeight="1">
      <c r="A105" s="2">
        <f>ROW()-4</f>
        <v>101</v>
      </c>
      <c r="B105" s="23">
        <f>R105/L105</f>
        <v>0.81611998469169655</v>
      </c>
      <c r="C105" s="2">
        <f>IF(ISBLANK($B105),-1,IFERROR(IF($B105&gt;0.9,2,IF($B105&lt;0.3,1,0)),-1))</f>
        <v>0</v>
      </c>
      <c r="D105" s="38"/>
      <c r="F105" s="62" t="s">
        <v>113</v>
      </c>
      <c r="G105" s="17" t="s">
        <v>114</v>
      </c>
      <c r="H105" s="25"/>
      <c r="I105" s="63" t="s">
        <v>25</v>
      </c>
      <c r="J105" s="64" t="s">
        <v>26</v>
      </c>
      <c r="K105" s="10">
        <v>1</v>
      </c>
      <c r="L105" s="65">
        <v>46902.65</v>
      </c>
      <c r="M105" s="65">
        <v>6097.35</v>
      </c>
      <c r="N105" s="65">
        <v>53000</v>
      </c>
      <c r="O105" s="66">
        <v>36336.449999999997</v>
      </c>
      <c r="P105" s="65">
        <v>963.52</v>
      </c>
      <c r="Q105" s="65">
        <v>978.22</v>
      </c>
      <c r="R105" s="65">
        <v>38278.19</v>
      </c>
    </row>
    <row r="106" spans="1:18" ht="14.4" customHeight="1">
      <c r="A106" s="2">
        <f>ROW()-4</f>
        <v>102</v>
      </c>
      <c r="B106" s="23">
        <f>R106/L106</f>
        <v>0.81095634583576659</v>
      </c>
      <c r="C106" s="2">
        <f>IF(ISBLANK($B106),-1,IFERROR(IF($B106&gt;0.9,2,IF($B106&lt;0.3,1,0)),-1))</f>
        <v>0</v>
      </c>
      <c r="D106" s="38"/>
      <c r="F106" s="62" t="s">
        <v>115</v>
      </c>
      <c r="G106" s="17" t="s">
        <v>41</v>
      </c>
      <c r="H106" s="25"/>
      <c r="I106" s="63" t="s">
        <v>25</v>
      </c>
      <c r="J106" s="64" t="s">
        <v>26</v>
      </c>
      <c r="K106" s="10">
        <v>1</v>
      </c>
      <c r="L106" s="65">
        <v>95398.23</v>
      </c>
      <c r="M106" s="65">
        <v>12401.77</v>
      </c>
      <c r="N106" s="65">
        <v>107800</v>
      </c>
      <c r="O106" s="66">
        <v>75096.649999999994</v>
      </c>
      <c r="P106" s="65">
        <v>885.08</v>
      </c>
      <c r="Q106" s="65">
        <v>1382.07</v>
      </c>
      <c r="R106" s="65">
        <v>77363.8</v>
      </c>
    </row>
    <row r="107" spans="1:18" ht="14.4" customHeight="1">
      <c r="A107" s="2">
        <f>ROW()-4</f>
        <v>103</v>
      </c>
      <c r="B107" s="23">
        <f>R107/L107</f>
        <v>0.81539164645910545</v>
      </c>
      <c r="C107" s="2">
        <f>IF(ISBLANK($B107),-1,IFERROR(IF($B107&gt;0.9,2,IF($B107&lt;0.3,1,0)),-1))</f>
        <v>0</v>
      </c>
      <c r="D107" s="38"/>
      <c r="F107" s="62" t="s">
        <v>115</v>
      </c>
      <c r="G107" s="17" t="s">
        <v>41</v>
      </c>
      <c r="H107" s="25"/>
      <c r="I107" s="63" t="s">
        <v>25</v>
      </c>
      <c r="J107" s="64" t="s">
        <v>26</v>
      </c>
      <c r="K107" s="10">
        <v>1</v>
      </c>
      <c r="L107" s="65">
        <v>93628.32</v>
      </c>
      <c r="M107" s="65">
        <v>12171.68</v>
      </c>
      <c r="N107" s="65">
        <v>105800</v>
      </c>
      <c r="O107" s="66">
        <v>74076.59</v>
      </c>
      <c r="P107" s="65">
        <v>885.08</v>
      </c>
      <c r="Q107" s="65">
        <v>1382.08</v>
      </c>
      <c r="R107" s="65">
        <v>76343.75</v>
      </c>
    </row>
    <row r="108" spans="1:18" ht="14.4" customHeight="1">
      <c r="A108" s="2">
        <f>ROW()-4</f>
        <v>104</v>
      </c>
      <c r="B108" s="23">
        <f>R108/L108</f>
        <v>0.83959697016768331</v>
      </c>
      <c r="C108" s="2">
        <f>IF(ISBLANK($B108),-1,IFERROR(IF($B108&gt;0.9,2,IF($B108&lt;0.3,1,0)),-1))</f>
        <v>0</v>
      </c>
      <c r="D108" s="38"/>
      <c r="F108" s="62" t="s">
        <v>115</v>
      </c>
      <c r="G108" s="17" t="s">
        <v>41</v>
      </c>
      <c r="H108" s="25"/>
      <c r="I108" s="63" t="s">
        <v>25</v>
      </c>
      <c r="J108" s="64" t="s">
        <v>26</v>
      </c>
      <c r="K108" s="10">
        <v>1</v>
      </c>
      <c r="L108" s="65">
        <v>94955.75</v>
      </c>
      <c r="M108" s="65">
        <v>12344.25</v>
      </c>
      <c r="N108" s="65">
        <v>107300</v>
      </c>
      <c r="O108" s="66">
        <v>77428.070000000007</v>
      </c>
      <c r="P108" s="65">
        <v>885.08</v>
      </c>
      <c r="Q108" s="65">
        <v>1411.41</v>
      </c>
      <c r="R108" s="65">
        <v>79724.56</v>
      </c>
    </row>
    <row r="109" spans="1:18" ht="14.4" customHeight="1">
      <c r="A109" s="2">
        <f>ROW()-4</f>
        <v>105</v>
      </c>
      <c r="B109" s="23">
        <f>R109/L109</f>
        <v>0.83515125073556873</v>
      </c>
      <c r="C109" s="2">
        <f>IF(ISBLANK($B109),-1,IFERROR(IF($B109&gt;0.9,2,IF($B109&lt;0.3,1,0)),-1))</f>
        <v>0</v>
      </c>
      <c r="D109" s="38"/>
      <c r="F109" s="62" t="s">
        <v>115</v>
      </c>
      <c r="G109" s="17" t="s">
        <v>41</v>
      </c>
      <c r="H109" s="25"/>
      <c r="I109" s="63" t="s">
        <v>25</v>
      </c>
      <c r="J109" s="64" t="s">
        <v>26</v>
      </c>
      <c r="K109" s="10">
        <v>1</v>
      </c>
      <c r="L109" s="65">
        <v>86548.67</v>
      </c>
      <c r="M109" s="65">
        <v>11251.33</v>
      </c>
      <c r="N109" s="65">
        <v>97800</v>
      </c>
      <c r="O109" s="66">
        <v>69993.399999999994</v>
      </c>
      <c r="P109" s="65">
        <v>885.08</v>
      </c>
      <c r="Q109" s="65">
        <v>1402.75</v>
      </c>
      <c r="R109" s="65">
        <v>72281.23</v>
      </c>
    </row>
    <row r="110" spans="1:18" ht="14.4" customHeight="1">
      <c r="A110" s="2">
        <f>ROW()-4</f>
        <v>106</v>
      </c>
      <c r="B110" s="23">
        <f>R110/L110</f>
        <v>0.84569406882294784</v>
      </c>
      <c r="C110" s="2">
        <f>IF(ISBLANK($B110),-1,IFERROR(IF($B110&gt;0.9,2,IF($B110&lt;0.3,1,0)),-1))</f>
        <v>0</v>
      </c>
      <c r="D110" s="38"/>
      <c r="F110" s="62" t="s">
        <v>115</v>
      </c>
      <c r="G110" s="17" t="s">
        <v>41</v>
      </c>
      <c r="H110" s="25"/>
      <c r="I110" s="63" t="s">
        <v>25</v>
      </c>
      <c r="J110" s="64" t="s">
        <v>26</v>
      </c>
      <c r="K110" s="10">
        <v>1</v>
      </c>
      <c r="L110" s="65">
        <v>82389.38</v>
      </c>
      <c r="M110" s="65">
        <v>10710.62</v>
      </c>
      <c r="N110" s="65">
        <v>93100</v>
      </c>
      <c r="O110" s="66">
        <v>67485.440000000002</v>
      </c>
      <c r="P110" s="65">
        <v>885.08</v>
      </c>
      <c r="Q110" s="65">
        <v>1305.69</v>
      </c>
      <c r="R110" s="65">
        <v>69676.210000000006</v>
      </c>
    </row>
    <row r="111" spans="1:18" ht="14.4" customHeight="1">
      <c r="A111" s="2">
        <f>ROW()-4</f>
        <v>107</v>
      </c>
      <c r="B111" s="23">
        <f>R111/L111</f>
        <v>0.84632533950370781</v>
      </c>
      <c r="C111" s="2">
        <f>IF(ISBLANK($B111),-1,IFERROR(IF($B111&gt;0.9,2,IF($B111&lt;0.3,1,0)),-1))</f>
        <v>0</v>
      </c>
      <c r="D111" s="38"/>
      <c r="F111" s="62" t="s">
        <v>115</v>
      </c>
      <c r="G111" s="17" t="s">
        <v>41</v>
      </c>
      <c r="H111" s="25"/>
      <c r="I111" s="63" t="s">
        <v>25</v>
      </c>
      <c r="J111" s="64" t="s">
        <v>26</v>
      </c>
      <c r="K111" s="10">
        <v>1</v>
      </c>
      <c r="L111" s="65">
        <v>82389.38</v>
      </c>
      <c r="M111" s="65">
        <v>10710.62</v>
      </c>
      <c r="N111" s="65">
        <v>93100</v>
      </c>
      <c r="O111" s="66">
        <v>67485.440000000002</v>
      </c>
      <c r="P111" s="65">
        <v>937.09</v>
      </c>
      <c r="Q111" s="65">
        <v>1305.69</v>
      </c>
      <c r="R111" s="65">
        <v>69728.22</v>
      </c>
    </row>
    <row r="112" spans="1:18" ht="14.4" customHeight="1">
      <c r="A112" s="2">
        <f>ROW()-4</f>
        <v>108</v>
      </c>
      <c r="B112" s="23">
        <f>R112/L112</f>
        <v>0.84478035882780023</v>
      </c>
      <c r="C112" s="2">
        <f>IF(ISBLANK($B112),-1,IFERROR(IF($B112&gt;0.9,2,IF($B112&lt;0.3,1,0)),-1))</f>
        <v>0</v>
      </c>
      <c r="D112" s="38"/>
      <c r="F112" s="62" t="s">
        <v>115</v>
      </c>
      <c r="G112" s="17" t="s">
        <v>41</v>
      </c>
      <c r="H112" s="25"/>
      <c r="I112" s="63" t="s">
        <v>25</v>
      </c>
      <c r="J112" s="64" t="s">
        <v>26</v>
      </c>
      <c r="K112" s="10">
        <v>1</v>
      </c>
      <c r="L112" s="65">
        <v>82389.38</v>
      </c>
      <c r="M112" s="65">
        <v>10710.62</v>
      </c>
      <c r="N112" s="65">
        <v>93100</v>
      </c>
      <c r="O112" s="66">
        <v>67358.759999999995</v>
      </c>
      <c r="P112" s="65">
        <v>937.09</v>
      </c>
      <c r="Q112" s="65">
        <v>1305.08</v>
      </c>
      <c r="R112" s="65">
        <v>69600.929999999993</v>
      </c>
    </row>
    <row r="113" spans="1:18" ht="14.4" customHeight="1">
      <c r="A113" s="2">
        <f>ROW()-4</f>
        <v>109</v>
      </c>
      <c r="B113" s="23">
        <f>R113/L113</f>
        <v>0.84478035882780023</v>
      </c>
      <c r="C113" s="2">
        <f>IF(ISBLANK($B113),-1,IFERROR(IF($B113&gt;0.9,2,IF($B113&lt;0.3,1,0)),-1))</f>
        <v>0</v>
      </c>
      <c r="D113" s="38"/>
      <c r="F113" s="62" t="s">
        <v>115</v>
      </c>
      <c r="G113" s="17" t="s">
        <v>41</v>
      </c>
      <c r="H113" s="25"/>
      <c r="I113" s="63" t="s">
        <v>25</v>
      </c>
      <c r="J113" s="64" t="s">
        <v>26</v>
      </c>
      <c r="K113" s="10">
        <v>1</v>
      </c>
      <c r="L113" s="65">
        <v>82389.38</v>
      </c>
      <c r="M113" s="65">
        <v>10710.62</v>
      </c>
      <c r="N113" s="65">
        <v>93100</v>
      </c>
      <c r="O113" s="66">
        <v>67358.759999999995</v>
      </c>
      <c r="P113" s="65">
        <v>937.09</v>
      </c>
      <c r="Q113" s="65">
        <v>1305.08</v>
      </c>
      <c r="R113" s="65">
        <v>69600.929999999993</v>
      </c>
    </row>
    <row r="114" spans="1:18" ht="14.4" customHeight="1">
      <c r="A114" s="2">
        <f>ROW()-4</f>
        <v>110</v>
      </c>
      <c r="B114" s="23">
        <f>R114/L114</f>
        <v>0.8461673094275014</v>
      </c>
      <c r="C114" s="2">
        <f>IF(ISBLANK($B114),-1,IFERROR(IF($B114&gt;0.9,2,IF($B114&lt;0.3,1,0)),-1))</f>
        <v>0</v>
      </c>
      <c r="D114" s="38"/>
      <c r="F114" s="62" t="s">
        <v>115</v>
      </c>
      <c r="G114" s="17" t="s">
        <v>41</v>
      </c>
      <c r="H114" s="25"/>
      <c r="I114" s="63" t="s">
        <v>25</v>
      </c>
      <c r="J114" s="64" t="s">
        <v>26</v>
      </c>
      <c r="K114" s="10">
        <v>1</v>
      </c>
      <c r="L114" s="65">
        <v>82389.38</v>
      </c>
      <c r="M114" s="65">
        <v>10710.62</v>
      </c>
      <c r="N114" s="65">
        <v>93100</v>
      </c>
      <c r="O114" s="66">
        <v>67472.479999999996</v>
      </c>
      <c r="P114" s="65">
        <v>937.09</v>
      </c>
      <c r="Q114" s="65">
        <v>1305.6300000000001</v>
      </c>
      <c r="R114" s="65">
        <v>69715.199999999997</v>
      </c>
    </row>
    <row r="115" spans="1:18" ht="14.4" customHeight="1">
      <c r="A115" s="2">
        <f>ROW()-4</f>
        <v>111</v>
      </c>
      <c r="B115" s="23">
        <f>R115/L115</f>
        <v>0.8461673094275014</v>
      </c>
      <c r="C115" s="2">
        <f>IF(ISBLANK($B115),-1,IFERROR(IF($B115&gt;0.9,2,IF($B115&lt;0.3,1,0)),-1))</f>
        <v>0</v>
      </c>
      <c r="D115" s="38"/>
      <c r="F115" s="62" t="s">
        <v>115</v>
      </c>
      <c r="G115" s="17" t="s">
        <v>41</v>
      </c>
      <c r="H115" s="25"/>
      <c r="I115" s="63" t="s">
        <v>25</v>
      </c>
      <c r="J115" s="64" t="s">
        <v>26</v>
      </c>
      <c r="K115" s="10">
        <v>1</v>
      </c>
      <c r="L115" s="65">
        <v>82389.38</v>
      </c>
      <c r="M115" s="65">
        <v>10710.62</v>
      </c>
      <c r="N115" s="65">
        <v>93100</v>
      </c>
      <c r="O115" s="66">
        <v>67472.479999999996</v>
      </c>
      <c r="P115" s="65">
        <v>937.09</v>
      </c>
      <c r="Q115" s="65">
        <v>1305.6300000000001</v>
      </c>
      <c r="R115" s="65">
        <v>69715.199999999997</v>
      </c>
    </row>
    <row r="116" spans="1:18" ht="14.4" customHeight="1">
      <c r="A116" s="2">
        <f>ROW()-4</f>
        <v>112</v>
      </c>
      <c r="B116" s="23">
        <f>R116/L116</f>
        <v>0.52343251855675887</v>
      </c>
      <c r="C116" s="2">
        <f>IF(ISBLANK($B116),-1,IFERROR(IF($B116&gt;0.9,2,IF($B116&lt;0.3,1,0)),-1))</f>
        <v>0</v>
      </c>
      <c r="D116" s="38"/>
      <c r="F116" s="62" t="s">
        <v>116</v>
      </c>
      <c r="G116" s="17" t="s">
        <v>117</v>
      </c>
      <c r="H116" s="25"/>
      <c r="I116" s="63" t="s">
        <v>25</v>
      </c>
      <c r="J116" s="64" t="s">
        <v>26</v>
      </c>
      <c r="K116" s="10">
        <v>1</v>
      </c>
      <c r="L116" s="65">
        <v>78761.06</v>
      </c>
      <c r="M116" s="65">
        <v>10238.94</v>
      </c>
      <c r="N116" s="65">
        <v>89000</v>
      </c>
      <c r="O116" s="66">
        <v>38634.910000000003</v>
      </c>
      <c r="P116" s="65">
        <v>1471.34</v>
      </c>
      <c r="Q116" s="65">
        <v>1119.8499999999999</v>
      </c>
      <c r="R116" s="65">
        <v>41226.1</v>
      </c>
    </row>
    <row r="117" spans="1:18" ht="14.4" customHeight="1">
      <c r="A117" s="2">
        <f>ROW()-4</f>
        <v>113</v>
      </c>
      <c r="B117" s="23">
        <f>R117/L117</f>
        <v>0.51935817014143792</v>
      </c>
      <c r="C117" s="2">
        <f>IF(ISBLANK($B117),-1,IFERROR(IF($B117&gt;0.9,2,IF($B117&lt;0.3,1,0)),-1))</f>
        <v>0</v>
      </c>
      <c r="D117" s="38"/>
      <c r="F117" s="62" t="s">
        <v>116</v>
      </c>
      <c r="G117" s="17" t="s">
        <v>117</v>
      </c>
      <c r="H117" s="25"/>
      <c r="I117" s="63" t="s">
        <v>25</v>
      </c>
      <c r="J117" s="64" t="s">
        <v>26</v>
      </c>
      <c r="K117" s="10">
        <v>1</v>
      </c>
      <c r="L117" s="65">
        <v>78761.06</v>
      </c>
      <c r="M117" s="65">
        <v>10238.94</v>
      </c>
      <c r="N117" s="65">
        <v>89000</v>
      </c>
      <c r="O117" s="66">
        <v>38328.800000000003</v>
      </c>
      <c r="P117" s="65">
        <v>1471.34</v>
      </c>
      <c r="Q117" s="65">
        <v>1105.06</v>
      </c>
      <c r="R117" s="65">
        <v>40905.199999999997</v>
      </c>
    </row>
    <row r="118" spans="1:18" ht="14.4" customHeight="1">
      <c r="A118" s="2">
        <f>ROW()-4</f>
        <v>114</v>
      </c>
      <c r="B118" s="23">
        <f>R118/L118</f>
        <v>0.51935817014143792</v>
      </c>
      <c r="C118" s="2">
        <f>IF(ISBLANK($B118),-1,IFERROR(IF($B118&gt;0.9,2,IF($B118&lt;0.3,1,0)),-1))</f>
        <v>0</v>
      </c>
      <c r="D118" s="38"/>
      <c r="F118" s="62" t="s">
        <v>116</v>
      </c>
      <c r="G118" s="17" t="s">
        <v>117</v>
      </c>
      <c r="H118" s="25"/>
      <c r="I118" s="63" t="s">
        <v>25</v>
      </c>
      <c r="J118" s="64" t="s">
        <v>26</v>
      </c>
      <c r="K118" s="10">
        <v>1</v>
      </c>
      <c r="L118" s="65">
        <v>78761.06</v>
      </c>
      <c r="M118" s="65">
        <v>10238.94</v>
      </c>
      <c r="N118" s="65">
        <v>89000</v>
      </c>
      <c r="O118" s="66">
        <v>38328.800000000003</v>
      </c>
      <c r="P118" s="65">
        <v>1471.34</v>
      </c>
      <c r="Q118" s="65">
        <v>1105.06</v>
      </c>
      <c r="R118" s="65">
        <v>40905.199999999997</v>
      </c>
    </row>
    <row r="119" spans="1:18" ht="14.4" customHeight="1">
      <c r="A119" s="2">
        <f>ROW()-4</f>
        <v>115</v>
      </c>
      <c r="B119" s="23">
        <f>R119/L119</f>
        <v>0.51935817014143792</v>
      </c>
      <c r="C119" s="2">
        <f>IF(ISBLANK($B119),-1,IFERROR(IF($B119&gt;0.9,2,IF($B119&lt;0.3,1,0)),-1))</f>
        <v>0</v>
      </c>
      <c r="D119" s="38"/>
      <c r="F119" s="62" t="s">
        <v>116</v>
      </c>
      <c r="G119" s="17" t="s">
        <v>117</v>
      </c>
      <c r="H119" s="25"/>
      <c r="I119" s="63" t="s">
        <v>25</v>
      </c>
      <c r="J119" s="64" t="s">
        <v>26</v>
      </c>
      <c r="K119" s="10">
        <v>1</v>
      </c>
      <c r="L119" s="65">
        <v>78761.06</v>
      </c>
      <c r="M119" s="65">
        <v>10238.94</v>
      </c>
      <c r="N119" s="65">
        <v>89000</v>
      </c>
      <c r="O119" s="66">
        <v>38328.800000000003</v>
      </c>
      <c r="P119" s="65">
        <v>1471.34</v>
      </c>
      <c r="Q119" s="65">
        <v>1105.06</v>
      </c>
      <c r="R119" s="65">
        <v>40905.199999999997</v>
      </c>
    </row>
    <row r="120" spans="1:18" ht="14.4" customHeight="1">
      <c r="A120" s="2">
        <f>ROW()-4</f>
        <v>116</v>
      </c>
      <c r="B120" s="23">
        <f>R120/L120</f>
        <v>0.51935817014143792</v>
      </c>
      <c r="C120" s="2">
        <f>IF(ISBLANK($B120),-1,IFERROR(IF($B120&gt;0.9,2,IF($B120&lt;0.3,1,0)),-1))</f>
        <v>0</v>
      </c>
      <c r="D120" s="38"/>
      <c r="F120" s="62" t="s">
        <v>116</v>
      </c>
      <c r="G120" s="17" t="s">
        <v>117</v>
      </c>
      <c r="H120" s="25"/>
      <c r="I120" s="63" t="s">
        <v>25</v>
      </c>
      <c r="J120" s="64" t="s">
        <v>26</v>
      </c>
      <c r="K120" s="10">
        <v>1</v>
      </c>
      <c r="L120" s="65">
        <v>78761.06</v>
      </c>
      <c r="M120" s="65">
        <v>10238.94</v>
      </c>
      <c r="N120" s="65">
        <v>89000</v>
      </c>
      <c r="O120" s="66">
        <v>38328.800000000003</v>
      </c>
      <c r="P120" s="65">
        <v>1471.34</v>
      </c>
      <c r="Q120" s="65">
        <v>1105.06</v>
      </c>
      <c r="R120" s="65">
        <v>40905.199999999997</v>
      </c>
    </row>
    <row r="121" spans="1:18" ht="14.4" customHeight="1">
      <c r="A121" s="2">
        <f>ROW()-4</f>
        <v>117</v>
      </c>
      <c r="B121" s="23">
        <f>R121/L121</f>
        <v>0.51757619818727685</v>
      </c>
      <c r="C121" s="2">
        <f>IF(ISBLANK($B121),-1,IFERROR(IF($B121&gt;0.9,2,IF($B121&lt;0.3,1,0)),-1))</f>
        <v>0</v>
      </c>
      <c r="D121" s="38"/>
      <c r="F121" s="62" t="s">
        <v>116</v>
      </c>
      <c r="G121" s="17" t="s">
        <v>117</v>
      </c>
      <c r="H121" s="25"/>
      <c r="I121" s="63" t="s">
        <v>25</v>
      </c>
      <c r="J121" s="64" t="s">
        <v>26</v>
      </c>
      <c r="K121" s="10">
        <v>1</v>
      </c>
      <c r="L121" s="65">
        <v>78761.06</v>
      </c>
      <c r="M121" s="65">
        <v>10238.94</v>
      </c>
      <c r="N121" s="65">
        <v>89000</v>
      </c>
      <c r="O121" s="66">
        <v>38194.910000000003</v>
      </c>
      <c r="P121" s="65">
        <v>1471.34</v>
      </c>
      <c r="Q121" s="65">
        <v>1098.5999999999999</v>
      </c>
      <c r="R121" s="65">
        <v>40764.85</v>
      </c>
    </row>
    <row r="122" spans="1:18" ht="14.4" customHeight="1">
      <c r="A122" s="2">
        <f>ROW()-4</f>
        <v>118</v>
      </c>
      <c r="B122" s="23">
        <f>R122/L122</f>
        <v>0.51757619818727685</v>
      </c>
      <c r="C122" s="2">
        <f>IF(ISBLANK($B122),-1,IFERROR(IF($B122&gt;0.9,2,IF($B122&lt;0.3,1,0)),-1))</f>
        <v>0</v>
      </c>
      <c r="D122" s="38"/>
      <c r="F122" s="62" t="s">
        <v>116</v>
      </c>
      <c r="G122" s="17" t="s">
        <v>117</v>
      </c>
      <c r="H122" s="25"/>
      <c r="I122" s="63" t="s">
        <v>25</v>
      </c>
      <c r="J122" s="64" t="s">
        <v>26</v>
      </c>
      <c r="K122" s="10">
        <v>1</v>
      </c>
      <c r="L122" s="65">
        <v>78761.06</v>
      </c>
      <c r="M122" s="65">
        <v>10238.94</v>
      </c>
      <c r="N122" s="65">
        <v>89000</v>
      </c>
      <c r="O122" s="66">
        <v>38194.910000000003</v>
      </c>
      <c r="P122" s="65">
        <v>1471.34</v>
      </c>
      <c r="Q122" s="65">
        <v>1098.5999999999999</v>
      </c>
      <c r="R122" s="65">
        <v>40764.85</v>
      </c>
    </row>
    <row r="123" spans="1:18" ht="14.4" customHeight="1">
      <c r="A123" s="2">
        <f>ROW()-4</f>
        <v>119</v>
      </c>
      <c r="B123" s="23">
        <f>R123/L123</f>
        <v>0.51757613247255263</v>
      </c>
      <c r="C123" s="2">
        <f>IF(ISBLANK($B123),-1,IFERROR(IF($B123&gt;0.9,2,IF($B123&lt;0.3,1,0)),-1))</f>
        <v>0</v>
      </c>
      <c r="D123" s="38"/>
      <c r="F123" s="62" t="s">
        <v>116</v>
      </c>
      <c r="G123" s="17" t="s">
        <v>117</v>
      </c>
      <c r="H123" s="25"/>
      <c r="I123" s="63" t="s">
        <v>25</v>
      </c>
      <c r="J123" s="64" t="s">
        <v>26</v>
      </c>
      <c r="K123" s="10">
        <v>1</v>
      </c>
      <c r="L123" s="65">
        <v>78761.070000000007</v>
      </c>
      <c r="M123" s="65">
        <v>10238.93</v>
      </c>
      <c r="N123" s="65">
        <v>89000</v>
      </c>
      <c r="O123" s="66">
        <v>38194.910000000003</v>
      </c>
      <c r="P123" s="65">
        <v>1471.34</v>
      </c>
      <c r="Q123" s="65">
        <v>1098.5999999999999</v>
      </c>
      <c r="R123" s="65">
        <v>40764.85</v>
      </c>
    </row>
    <row r="124" spans="1:18" ht="14.4" customHeight="1">
      <c r="A124" s="2">
        <f>ROW()-4</f>
        <v>120</v>
      </c>
      <c r="B124" s="23">
        <f>R124/L124</f>
        <v>0.51757575157371527</v>
      </c>
      <c r="C124" s="2">
        <f>IF(ISBLANK($B124),-1,IFERROR(IF($B124&gt;0.9,2,IF($B124&lt;0.3,1,0)),-1))</f>
        <v>0</v>
      </c>
      <c r="D124" s="38"/>
      <c r="F124" s="62" t="s">
        <v>116</v>
      </c>
      <c r="G124" s="17" t="s">
        <v>117</v>
      </c>
      <c r="H124" s="25"/>
      <c r="I124" s="63" t="s">
        <v>25</v>
      </c>
      <c r="J124" s="64" t="s">
        <v>26</v>
      </c>
      <c r="K124" s="10">
        <v>1</v>
      </c>
      <c r="L124" s="65">
        <v>78761.070000000007</v>
      </c>
      <c r="M124" s="65">
        <v>10238.93</v>
      </c>
      <c r="N124" s="65">
        <v>89000</v>
      </c>
      <c r="O124" s="66">
        <v>38194.879999999997</v>
      </c>
      <c r="P124" s="65">
        <v>1471.34</v>
      </c>
      <c r="Q124" s="65">
        <v>1098.5999999999999</v>
      </c>
      <c r="R124" s="65">
        <v>40764.82</v>
      </c>
    </row>
    <row r="125" spans="1:18" ht="14.4" customHeight="1">
      <c r="A125" s="2">
        <f>ROW()-4</f>
        <v>121</v>
      </c>
      <c r="B125" s="23">
        <f>R125/L125</f>
        <v>0.74133006918074895</v>
      </c>
      <c r="C125" s="2">
        <f>IF(ISBLANK($B125),-1,IFERROR(IF($B125&gt;0.9,2,IF($B125&lt;0.3,1,0)),-1))</f>
        <v>0</v>
      </c>
      <c r="D125" s="38"/>
      <c r="F125" s="62" t="s">
        <v>118</v>
      </c>
      <c r="G125" s="17" t="s">
        <v>119</v>
      </c>
      <c r="H125" s="25"/>
      <c r="I125" s="63" t="s">
        <v>25</v>
      </c>
      <c r="J125" s="64" t="s">
        <v>26</v>
      </c>
      <c r="K125" s="10">
        <v>1</v>
      </c>
      <c r="L125" s="65">
        <v>91327.43</v>
      </c>
      <c r="M125" s="65">
        <v>11872.57</v>
      </c>
      <c r="N125" s="65">
        <v>103200</v>
      </c>
      <c r="O125" s="66">
        <v>64846.02</v>
      </c>
      <c r="P125" s="65">
        <v>1258.77</v>
      </c>
      <c r="Q125" s="65">
        <v>1598.98</v>
      </c>
      <c r="R125" s="65">
        <v>67703.77</v>
      </c>
    </row>
    <row r="126" spans="1:18" ht="14.4" customHeight="1">
      <c r="A126" s="2">
        <f>ROW()-4</f>
        <v>122</v>
      </c>
      <c r="B126" s="23">
        <f>R126/L126</f>
        <v>0.72098275350876317</v>
      </c>
      <c r="C126" s="2">
        <f>IF(ISBLANK($B126),-1,IFERROR(IF($B126&gt;0.9,2,IF($B126&lt;0.3,1,0)),-1))</f>
        <v>0</v>
      </c>
      <c r="D126" s="38"/>
      <c r="F126" s="62" t="s">
        <v>120</v>
      </c>
      <c r="G126" s="17" t="s">
        <v>90</v>
      </c>
      <c r="H126" s="25"/>
      <c r="I126" s="63" t="s">
        <v>25</v>
      </c>
      <c r="J126" s="64" t="s">
        <v>26</v>
      </c>
      <c r="K126" s="10">
        <v>1</v>
      </c>
      <c r="L126" s="65">
        <v>75044.25</v>
      </c>
      <c r="M126" s="65">
        <v>9755.75</v>
      </c>
      <c r="N126" s="65">
        <v>84800</v>
      </c>
      <c r="O126" s="66">
        <v>51586.59</v>
      </c>
      <c r="P126" s="65">
        <v>1099.08</v>
      </c>
      <c r="Q126" s="65">
        <v>1419.94</v>
      </c>
      <c r="R126" s="65">
        <v>54105.61</v>
      </c>
    </row>
    <row r="127" spans="1:18" ht="14.4" customHeight="1">
      <c r="A127" s="2">
        <f>ROW()-4</f>
        <v>123</v>
      </c>
      <c r="B127" s="23">
        <f>R127/L127</f>
        <v>0.74118775969160255</v>
      </c>
      <c r="C127" s="2">
        <f>IF(ISBLANK($B127),-1,IFERROR(IF($B127&gt;0.9,2,IF($B127&lt;0.3,1,0)),-1))</f>
        <v>0</v>
      </c>
      <c r="D127" s="38"/>
      <c r="F127" s="62" t="s">
        <v>121</v>
      </c>
      <c r="G127" s="17" t="s">
        <v>122</v>
      </c>
      <c r="H127" s="25"/>
      <c r="I127" s="63" t="s">
        <v>25</v>
      </c>
      <c r="J127" s="64" t="s">
        <v>26</v>
      </c>
      <c r="K127" s="10">
        <v>1</v>
      </c>
      <c r="L127" s="65">
        <v>53982.3</v>
      </c>
      <c r="M127" s="65">
        <v>7017.7</v>
      </c>
      <c r="N127" s="65">
        <v>61000</v>
      </c>
      <c r="O127" s="66">
        <v>37859.58</v>
      </c>
      <c r="P127" s="65">
        <v>1083.81</v>
      </c>
      <c r="Q127" s="65">
        <v>1067.6300000000001</v>
      </c>
      <c r="R127" s="65">
        <v>40011.019999999997</v>
      </c>
    </row>
    <row r="128" spans="1:18" ht="14.4" customHeight="1">
      <c r="A128" s="2">
        <f>ROW()-4</f>
        <v>124</v>
      </c>
      <c r="B128" s="23">
        <f>R128/L128</f>
        <v>0.8130301956677729</v>
      </c>
      <c r="C128" s="2">
        <f>IF(ISBLANK($B128),-1,IFERROR(IF($B128&gt;0.9,2,IF($B128&lt;0.3,1,0)),-1))</f>
        <v>0</v>
      </c>
      <c r="D128" s="38"/>
      <c r="F128" s="62" t="s">
        <v>123</v>
      </c>
      <c r="G128" s="17" t="s">
        <v>124</v>
      </c>
      <c r="H128" s="25"/>
      <c r="I128" s="63" t="s">
        <v>25</v>
      </c>
      <c r="J128" s="64" t="s">
        <v>26</v>
      </c>
      <c r="K128" s="10">
        <v>1</v>
      </c>
      <c r="L128" s="65">
        <v>72566.37</v>
      </c>
      <c r="M128" s="65">
        <v>9433.6299999999992</v>
      </c>
      <c r="N128" s="65">
        <v>82000</v>
      </c>
      <c r="O128" s="66">
        <v>56188.9</v>
      </c>
      <c r="P128" s="65">
        <v>1323.91</v>
      </c>
      <c r="Q128" s="65">
        <v>1485.84</v>
      </c>
      <c r="R128" s="65">
        <v>58998.65</v>
      </c>
    </row>
    <row r="129" spans="1:18" ht="14.4" customHeight="1">
      <c r="A129" s="2">
        <f>ROW()-4</f>
        <v>125</v>
      </c>
      <c r="B129" s="23">
        <f>R129/L129</f>
        <v>0.83563034884074561</v>
      </c>
      <c r="C129" s="2">
        <f>IF(ISBLANK($B129),-1,IFERROR(IF($B129&gt;0.9,2,IF($B129&lt;0.3,1,0)),-1))</f>
        <v>0</v>
      </c>
      <c r="D129" s="38"/>
      <c r="F129" s="62" t="s">
        <v>123</v>
      </c>
      <c r="G129" s="17" t="s">
        <v>124</v>
      </c>
      <c r="H129" s="25"/>
      <c r="I129" s="63" t="s">
        <v>25</v>
      </c>
      <c r="J129" s="64" t="s">
        <v>26</v>
      </c>
      <c r="K129" s="10">
        <v>1</v>
      </c>
      <c r="L129" s="65">
        <v>71681.42</v>
      </c>
      <c r="M129" s="65">
        <v>9318.58</v>
      </c>
      <c r="N129" s="65">
        <v>81000</v>
      </c>
      <c r="O129" s="66">
        <v>57138.54</v>
      </c>
      <c r="P129" s="65">
        <v>1323.91</v>
      </c>
      <c r="Q129" s="65">
        <v>1436.72</v>
      </c>
      <c r="R129" s="65">
        <v>59899.17</v>
      </c>
    </row>
    <row r="130" spans="1:18" ht="14.4" customHeight="1">
      <c r="A130" s="2">
        <f>ROW()-4</f>
        <v>126</v>
      </c>
      <c r="B130" s="23">
        <f>R130/L130</f>
        <v>0.83776731209441824</v>
      </c>
      <c r="C130" s="2">
        <f>IF(ISBLANK($B130),-1,IFERROR(IF($B130&gt;0.9,2,IF($B130&lt;0.3,1,0)),-1))</f>
        <v>0</v>
      </c>
      <c r="D130" s="38"/>
      <c r="F130" s="62" t="s">
        <v>123</v>
      </c>
      <c r="G130" s="17" t="s">
        <v>124</v>
      </c>
      <c r="H130" s="25"/>
      <c r="I130" s="63" t="s">
        <v>25</v>
      </c>
      <c r="J130" s="64" t="s">
        <v>26</v>
      </c>
      <c r="K130" s="10">
        <v>1</v>
      </c>
      <c r="L130" s="65">
        <v>70796.460000000006</v>
      </c>
      <c r="M130" s="65">
        <v>9203.5400000000009</v>
      </c>
      <c r="N130" s="65">
        <v>80000</v>
      </c>
      <c r="O130" s="66">
        <v>56685.75</v>
      </c>
      <c r="P130" s="65">
        <v>1154.8900000000001</v>
      </c>
      <c r="Q130" s="65">
        <v>1470.32</v>
      </c>
      <c r="R130" s="65">
        <v>59310.96</v>
      </c>
    </row>
    <row r="131" spans="1:18" ht="14.4" customHeight="1">
      <c r="A131" s="2">
        <f>ROW()-4</f>
        <v>127</v>
      </c>
      <c r="B131" s="23">
        <f>R131/L131</f>
        <v>0.86804266518491024</v>
      </c>
      <c r="C131" s="2">
        <f>IF(ISBLANK($B131),-1,IFERROR(IF($B131&gt;0.9,2,IF($B131&lt;0.3,1,0)),-1))</f>
        <v>0</v>
      </c>
      <c r="D131" s="38"/>
      <c r="F131" s="62" t="s">
        <v>123</v>
      </c>
      <c r="G131" s="17" t="s">
        <v>124</v>
      </c>
      <c r="H131" s="25"/>
      <c r="I131" s="63" t="s">
        <v>25</v>
      </c>
      <c r="J131" s="64" t="s">
        <v>26</v>
      </c>
      <c r="K131" s="10">
        <v>1</v>
      </c>
      <c r="L131" s="65">
        <v>66371.679999999993</v>
      </c>
      <c r="M131" s="65">
        <v>8628.32</v>
      </c>
      <c r="N131" s="65">
        <v>75000</v>
      </c>
      <c r="O131" s="66">
        <v>55008.13</v>
      </c>
      <c r="P131" s="65">
        <v>1154.8900000000001</v>
      </c>
      <c r="Q131" s="65">
        <v>1450.43</v>
      </c>
      <c r="R131" s="65">
        <v>57613.45</v>
      </c>
    </row>
    <row r="132" spans="1:18" ht="14.4" customHeight="1">
      <c r="A132" s="2">
        <f>ROW()-4</f>
        <v>128</v>
      </c>
      <c r="B132" s="23">
        <f>R132/L132</f>
        <v>0.85550031248847502</v>
      </c>
      <c r="C132" s="2">
        <f>IF(ISBLANK($B132),-1,IFERROR(IF($B132&gt;0.9,2,IF($B132&lt;0.3,1,0)),-1))</f>
        <v>0</v>
      </c>
      <c r="D132" s="38"/>
      <c r="F132" s="62" t="s">
        <v>123</v>
      </c>
      <c r="G132" s="17" t="s">
        <v>124</v>
      </c>
      <c r="H132" s="25"/>
      <c r="I132" s="63" t="s">
        <v>25</v>
      </c>
      <c r="J132" s="64" t="s">
        <v>26</v>
      </c>
      <c r="K132" s="10">
        <v>1</v>
      </c>
      <c r="L132" s="65">
        <v>80530.97</v>
      </c>
      <c r="M132" s="65">
        <v>10469.030000000001</v>
      </c>
      <c r="N132" s="65">
        <v>91000</v>
      </c>
      <c r="O132" s="66">
        <v>65970.69</v>
      </c>
      <c r="P132" s="65">
        <v>1266.7</v>
      </c>
      <c r="Q132" s="65">
        <v>1656.88</v>
      </c>
      <c r="R132" s="65">
        <v>68894.27</v>
      </c>
    </row>
    <row r="133" spans="1:18" ht="14.4" customHeight="1">
      <c r="A133" s="2">
        <f>ROW()-4</f>
        <v>129</v>
      </c>
      <c r="B133" s="23">
        <f>R133/L133</f>
        <v>0.87069968332066627</v>
      </c>
      <c r="C133" s="2">
        <f>IF(ISBLANK($B133),-1,IFERROR(IF($B133&gt;0.9,2,IF($B133&lt;0.3,1,0)),-1))</f>
        <v>0</v>
      </c>
      <c r="D133" s="38"/>
      <c r="F133" s="62" t="s">
        <v>123</v>
      </c>
      <c r="G133" s="17" t="s">
        <v>124</v>
      </c>
      <c r="H133" s="25"/>
      <c r="I133" s="63" t="s">
        <v>25</v>
      </c>
      <c r="J133" s="64" t="s">
        <v>26</v>
      </c>
      <c r="K133" s="10">
        <v>1</v>
      </c>
      <c r="L133" s="65">
        <v>78761.06</v>
      </c>
      <c r="M133" s="65">
        <v>10238.94</v>
      </c>
      <c r="N133" s="65">
        <v>89000</v>
      </c>
      <c r="O133" s="66">
        <v>65668.490000000005</v>
      </c>
      <c r="P133" s="65">
        <v>1266.7</v>
      </c>
      <c r="Q133" s="65">
        <v>1642.04</v>
      </c>
      <c r="R133" s="65">
        <v>68577.23</v>
      </c>
    </row>
    <row r="134" spans="1:18" ht="14.4" customHeight="1">
      <c r="A134" s="2">
        <f>ROW()-4</f>
        <v>130</v>
      </c>
      <c r="B134" s="23">
        <f>R134/L134</f>
        <v>0.84885720935197617</v>
      </c>
      <c r="C134" s="2">
        <f>IF(ISBLANK($B134),-1,IFERROR(IF($B134&gt;0.9,2,IF($B134&lt;0.3,1,0)),-1))</f>
        <v>0</v>
      </c>
      <c r="D134" s="38"/>
      <c r="F134" s="62" t="s">
        <v>123</v>
      </c>
      <c r="G134" s="17" t="s">
        <v>124</v>
      </c>
      <c r="H134" s="25"/>
      <c r="I134" s="63" t="s">
        <v>25</v>
      </c>
      <c r="J134" s="64" t="s">
        <v>26</v>
      </c>
      <c r="K134" s="10">
        <v>1</v>
      </c>
      <c r="L134" s="65">
        <v>83185.84</v>
      </c>
      <c r="M134" s="65">
        <v>10814.16</v>
      </c>
      <c r="N134" s="65">
        <v>94000</v>
      </c>
      <c r="O134" s="66">
        <v>67492.53</v>
      </c>
      <c r="P134" s="65">
        <v>1435.71</v>
      </c>
      <c r="Q134" s="65">
        <v>1684.66</v>
      </c>
      <c r="R134" s="65">
        <v>70612.899999999994</v>
      </c>
    </row>
    <row r="135" spans="1:18" ht="14.4" customHeight="1">
      <c r="A135" s="2">
        <f>ROW()-4</f>
        <v>131</v>
      </c>
      <c r="B135" s="23">
        <f>R135/L135</f>
        <v>0.84886694658610173</v>
      </c>
      <c r="C135" s="2">
        <f>IF(ISBLANK($B135),-1,IFERROR(IF($B135&gt;0.9,2,IF($B135&lt;0.3,1,0)),-1))</f>
        <v>0</v>
      </c>
      <c r="D135" s="38"/>
      <c r="F135" s="62" t="s">
        <v>123</v>
      </c>
      <c r="G135" s="17" t="s">
        <v>124</v>
      </c>
      <c r="H135" s="25"/>
      <c r="I135" s="63" t="s">
        <v>25</v>
      </c>
      <c r="J135" s="64" t="s">
        <v>26</v>
      </c>
      <c r="K135" s="10">
        <v>1</v>
      </c>
      <c r="L135" s="65">
        <v>83185.84</v>
      </c>
      <c r="M135" s="65">
        <v>10814.16</v>
      </c>
      <c r="N135" s="65">
        <v>94000</v>
      </c>
      <c r="O135" s="66">
        <v>67493.3</v>
      </c>
      <c r="P135" s="65">
        <v>1435.71</v>
      </c>
      <c r="Q135" s="65">
        <v>1684.7</v>
      </c>
      <c r="R135" s="65">
        <v>70613.710000000006</v>
      </c>
    </row>
    <row r="136" spans="1:18" ht="14.4" customHeight="1">
      <c r="A136" s="2">
        <f>ROW()-4</f>
        <v>132</v>
      </c>
      <c r="B136" s="23">
        <f>R136/L136</f>
        <v>0.84886694658610173</v>
      </c>
      <c r="C136" s="2">
        <f>IF(ISBLANK($B136),-1,IFERROR(IF($B136&gt;0.9,2,IF($B136&lt;0.3,1,0)),-1))</f>
        <v>0</v>
      </c>
      <c r="D136" s="38"/>
      <c r="F136" s="62" t="s">
        <v>123</v>
      </c>
      <c r="G136" s="17" t="s">
        <v>124</v>
      </c>
      <c r="H136" s="25"/>
      <c r="I136" s="63" t="s">
        <v>25</v>
      </c>
      <c r="J136" s="64" t="s">
        <v>26</v>
      </c>
      <c r="K136" s="10">
        <v>1</v>
      </c>
      <c r="L136" s="65">
        <v>83185.84</v>
      </c>
      <c r="M136" s="65">
        <v>10814.16</v>
      </c>
      <c r="N136" s="65">
        <v>94000</v>
      </c>
      <c r="O136" s="66">
        <v>67493.3</v>
      </c>
      <c r="P136" s="65">
        <v>1435.71</v>
      </c>
      <c r="Q136" s="65">
        <v>1684.7</v>
      </c>
      <c r="R136" s="65">
        <v>70613.710000000006</v>
      </c>
    </row>
    <row r="137" spans="1:18" ht="14.4" customHeight="1">
      <c r="A137" s="2">
        <f>ROW()-4</f>
        <v>133</v>
      </c>
      <c r="B137" s="23">
        <f>R137/L137</f>
        <v>0.84821551360183423</v>
      </c>
      <c r="C137" s="2">
        <f>IF(ISBLANK($B137),-1,IFERROR(IF($B137&gt;0.9,2,IF($B137&lt;0.3,1,0)),-1))</f>
        <v>0</v>
      </c>
      <c r="D137" s="38"/>
      <c r="F137" s="62" t="s">
        <v>123</v>
      </c>
      <c r="G137" s="17" t="s">
        <v>124</v>
      </c>
      <c r="H137" s="25"/>
      <c r="I137" s="63" t="s">
        <v>25</v>
      </c>
      <c r="J137" s="64" t="s">
        <v>26</v>
      </c>
      <c r="K137" s="10">
        <v>1</v>
      </c>
      <c r="L137" s="65">
        <v>83185.84</v>
      </c>
      <c r="M137" s="65">
        <v>10814.16</v>
      </c>
      <c r="N137" s="65">
        <v>94000</v>
      </c>
      <c r="O137" s="66">
        <v>67441.34</v>
      </c>
      <c r="P137" s="65">
        <v>1435.71</v>
      </c>
      <c r="Q137" s="65">
        <v>1682.47</v>
      </c>
      <c r="R137" s="65">
        <v>70559.520000000004</v>
      </c>
    </row>
    <row r="138" spans="1:18" ht="14.4" customHeight="1">
      <c r="A138" s="2">
        <f>ROW()-4</f>
        <v>134</v>
      </c>
      <c r="B138" s="23">
        <f>R138/L138</f>
        <v>0.84821551360183423</v>
      </c>
      <c r="C138" s="2">
        <f>IF(ISBLANK($B138),-1,IFERROR(IF($B138&gt;0.9,2,IF($B138&lt;0.3,1,0)),-1))</f>
        <v>0</v>
      </c>
      <c r="D138" s="38"/>
      <c r="F138" s="62" t="s">
        <v>123</v>
      </c>
      <c r="G138" s="17" t="s">
        <v>124</v>
      </c>
      <c r="H138" s="25"/>
      <c r="I138" s="63" t="s">
        <v>25</v>
      </c>
      <c r="J138" s="64" t="s">
        <v>26</v>
      </c>
      <c r="K138" s="10">
        <v>1</v>
      </c>
      <c r="L138" s="65">
        <v>83185.84</v>
      </c>
      <c r="M138" s="65">
        <v>10814.16</v>
      </c>
      <c r="N138" s="65">
        <v>94000</v>
      </c>
      <c r="O138" s="66">
        <v>67441.34</v>
      </c>
      <c r="P138" s="65">
        <v>1435.71</v>
      </c>
      <c r="Q138" s="65">
        <v>1682.47</v>
      </c>
      <c r="R138" s="65">
        <v>70559.520000000004</v>
      </c>
    </row>
    <row r="139" spans="1:18" ht="14.4" customHeight="1">
      <c r="A139" s="2">
        <f>ROW()-4</f>
        <v>135</v>
      </c>
      <c r="B139" s="23">
        <f>R139/L139</f>
        <v>0.84878712530882672</v>
      </c>
      <c r="C139" s="2">
        <f>IF(ISBLANK($B139),-1,IFERROR(IF($B139&gt;0.9,2,IF($B139&lt;0.3,1,0)),-1))</f>
        <v>0</v>
      </c>
      <c r="D139" s="38"/>
      <c r="F139" s="62" t="s">
        <v>123</v>
      </c>
      <c r="G139" s="17" t="s">
        <v>124</v>
      </c>
      <c r="H139" s="25"/>
      <c r="I139" s="63" t="s">
        <v>25</v>
      </c>
      <c r="J139" s="64" t="s">
        <v>26</v>
      </c>
      <c r="K139" s="10">
        <v>1</v>
      </c>
      <c r="L139" s="65">
        <v>83185.84</v>
      </c>
      <c r="M139" s="65">
        <v>10814.16</v>
      </c>
      <c r="N139" s="65">
        <v>94000</v>
      </c>
      <c r="O139" s="66">
        <v>67486.7</v>
      </c>
      <c r="P139" s="65">
        <v>1435.71</v>
      </c>
      <c r="Q139" s="65">
        <v>1684.66</v>
      </c>
      <c r="R139" s="65">
        <v>70607.070000000007</v>
      </c>
    </row>
    <row r="140" spans="1:18" ht="14.4" customHeight="1">
      <c r="A140" s="2">
        <f>ROW()-4</f>
        <v>136</v>
      </c>
      <c r="B140" s="23">
        <f>R140/L140</f>
        <v>0.87467027892667237</v>
      </c>
      <c r="C140" s="2">
        <f>IF(ISBLANK($B140),-1,IFERROR(IF($B140&gt;0.9,2,IF($B140&lt;0.3,1,0)),-1))</f>
        <v>0</v>
      </c>
      <c r="D140" s="38"/>
      <c r="F140" s="62" t="s">
        <v>125</v>
      </c>
      <c r="G140" s="17" t="s">
        <v>126</v>
      </c>
      <c r="H140" s="25"/>
      <c r="I140" s="63" t="s">
        <v>25</v>
      </c>
      <c r="J140" s="64" t="s">
        <v>26</v>
      </c>
      <c r="K140" s="10">
        <v>1</v>
      </c>
      <c r="L140" s="65">
        <v>99823.01</v>
      </c>
      <c r="M140" s="65">
        <v>12976.99</v>
      </c>
      <c r="N140" s="65">
        <v>112800</v>
      </c>
      <c r="O140" s="66">
        <v>84563.86</v>
      </c>
      <c r="P140" s="65">
        <v>1087.55</v>
      </c>
      <c r="Q140" s="65">
        <v>1660.81</v>
      </c>
      <c r="R140" s="65">
        <v>87312.22</v>
      </c>
    </row>
    <row r="141" spans="1:18" ht="14.4" customHeight="1">
      <c r="A141" s="2">
        <f>ROW()-4</f>
        <v>137</v>
      </c>
      <c r="B141" s="23">
        <f>R141/L141</f>
        <v>0.87467027892667237</v>
      </c>
      <c r="C141" s="2">
        <f>IF(ISBLANK($B141),-1,IFERROR(IF($B141&gt;0.9,2,IF($B141&lt;0.3,1,0)),-1))</f>
        <v>0</v>
      </c>
      <c r="D141" s="38"/>
      <c r="F141" s="62" t="s">
        <v>125</v>
      </c>
      <c r="G141" s="17" t="s">
        <v>126</v>
      </c>
      <c r="H141" s="25"/>
      <c r="I141" s="63" t="s">
        <v>25</v>
      </c>
      <c r="J141" s="64" t="s">
        <v>26</v>
      </c>
      <c r="K141" s="10">
        <v>1</v>
      </c>
      <c r="L141" s="65">
        <v>99823.01</v>
      </c>
      <c r="M141" s="65">
        <v>12976.99</v>
      </c>
      <c r="N141" s="65">
        <v>112800</v>
      </c>
      <c r="O141" s="66">
        <v>84563.86</v>
      </c>
      <c r="P141" s="65">
        <v>1087.55</v>
      </c>
      <c r="Q141" s="65">
        <v>1660.81</v>
      </c>
      <c r="R141" s="65">
        <v>87312.22</v>
      </c>
    </row>
    <row r="142" spans="1:18" ht="14.4" customHeight="1">
      <c r="A142" s="2">
        <f>ROW()-4</f>
        <v>138</v>
      </c>
      <c r="B142" s="23">
        <f>R142/L142</f>
        <v>0.6980718478821526</v>
      </c>
      <c r="C142" s="2">
        <f>IF(ISBLANK($B142),-1,IFERROR(IF($B142&gt;0.9,2,IF($B142&lt;0.3,1,0)),-1))</f>
        <v>0</v>
      </c>
      <c r="D142" s="38"/>
      <c r="F142" s="62" t="s">
        <v>127</v>
      </c>
      <c r="G142" s="17" t="s">
        <v>128</v>
      </c>
      <c r="H142" s="25"/>
      <c r="I142" s="63" t="s">
        <v>25</v>
      </c>
      <c r="J142" s="64" t="s">
        <v>26</v>
      </c>
      <c r="K142" s="10">
        <v>1</v>
      </c>
      <c r="L142" s="65">
        <v>72566.37</v>
      </c>
      <c r="M142" s="65">
        <v>9433.6299999999992</v>
      </c>
      <c r="N142" s="65">
        <v>82000</v>
      </c>
      <c r="O142" s="66">
        <v>48111.23</v>
      </c>
      <c r="P142" s="65">
        <v>1490.85</v>
      </c>
      <c r="Q142" s="65">
        <v>1054.46</v>
      </c>
      <c r="R142" s="65">
        <v>50656.54</v>
      </c>
    </row>
    <row r="143" spans="1:18" ht="14.4" customHeight="1">
      <c r="A143" s="2">
        <f>ROW()-4</f>
        <v>139</v>
      </c>
      <c r="B143" s="23">
        <f>R143/L143</f>
        <v>0.6980718478821526</v>
      </c>
      <c r="C143" s="2">
        <f>IF(ISBLANK($B143),-1,IFERROR(IF($B143&gt;0.9,2,IF($B143&lt;0.3,1,0)),-1))</f>
        <v>0</v>
      </c>
      <c r="D143" s="38"/>
      <c r="F143" s="62" t="s">
        <v>127</v>
      </c>
      <c r="G143" s="17" t="s">
        <v>128</v>
      </c>
      <c r="H143" s="25"/>
      <c r="I143" s="63" t="s">
        <v>25</v>
      </c>
      <c r="J143" s="64" t="s">
        <v>26</v>
      </c>
      <c r="K143" s="10">
        <v>1</v>
      </c>
      <c r="L143" s="65">
        <v>72566.37</v>
      </c>
      <c r="M143" s="65">
        <v>9433.6299999999992</v>
      </c>
      <c r="N143" s="65">
        <v>82000</v>
      </c>
      <c r="O143" s="66">
        <v>48111.23</v>
      </c>
      <c r="P143" s="65">
        <v>1490.85</v>
      </c>
      <c r="Q143" s="65">
        <v>1054.46</v>
      </c>
      <c r="R143" s="65">
        <v>50656.54</v>
      </c>
    </row>
    <row r="144" spans="1:18" ht="14.4" customHeight="1">
      <c r="A144" s="2">
        <f>ROW()-4</f>
        <v>140</v>
      </c>
      <c r="B144" s="23">
        <f>R144/L144</f>
        <v>0.6980718478821526</v>
      </c>
      <c r="C144" s="2">
        <f>IF(ISBLANK($B144),-1,IFERROR(IF($B144&gt;0.9,2,IF($B144&lt;0.3,1,0)),-1))</f>
        <v>0</v>
      </c>
      <c r="D144" s="38"/>
      <c r="F144" s="62" t="s">
        <v>127</v>
      </c>
      <c r="G144" s="17" t="s">
        <v>128</v>
      </c>
      <c r="H144" s="25"/>
      <c r="I144" s="63" t="s">
        <v>25</v>
      </c>
      <c r="J144" s="64" t="s">
        <v>26</v>
      </c>
      <c r="K144" s="10">
        <v>1</v>
      </c>
      <c r="L144" s="65">
        <v>72566.37</v>
      </c>
      <c r="M144" s="65">
        <v>9433.6299999999992</v>
      </c>
      <c r="N144" s="65">
        <v>82000</v>
      </c>
      <c r="O144" s="66">
        <v>48111.23</v>
      </c>
      <c r="P144" s="65">
        <v>1490.85</v>
      </c>
      <c r="Q144" s="65">
        <v>1054.46</v>
      </c>
      <c r="R144" s="65">
        <v>50656.54</v>
      </c>
    </row>
    <row r="145" spans="1:18" ht="14.4" customHeight="1">
      <c r="A145" s="2">
        <f>ROW()-4</f>
        <v>141</v>
      </c>
      <c r="B145" s="23">
        <f>R145/L145</f>
        <v>0.6980718478821526</v>
      </c>
      <c r="C145" s="2">
        <f>IF(ISBLANK($B145),-1,IFERROR(IF($B145&gt;0.9,2,IF($B145&lt;0.3,1,0)),-1))</f>
        <v>0</v>
      </c>
      <c r="D145" s="38"/>
      <c r="F145" s="62" t="s">
        <v>127</v>
      </c>
      <c r="G145" s="17" t="s">
        <v>128</v>
      </c>
      <c r="H145" s="25"/>
      <c r="I145" s="63" t="s">
        <v>25</v>
      </c>
      <c r="J145" s="64" t="s">
        <v>26</v>
      </c>
      <c r="K145" s="10">
        <v>1</v>
      </c>
      <c r="L145" s="65">
        <v>72566.37</v>
      </c>
      <c r="M145" s="65">
        <v>9433.6299999999992</v>
      </c>
      <c r="N145" s="65">
        <v>82000</v>
      </c>
      <c r="O145" s="66">
        <v>48111.23</v>
      </c>
      <c r="P145" s="65">
        <v>1490.85</v>
      </c>
      <c r="Q145" s="65">
        <v>1054.46</v>
      </c>
      <c r="R145" s="65">
        <v>50656.54</v>
      </c>
    </row>
    <row r="146" spans="1:18" ht="14.4" customHeight="1">
      <c r="A146" s="2">
        <f>ROW()-4</f>
        <v>142</v>
      </c>
      <c r="B146" s="23">
        <f>R146/L146</f>
        <v>0.6980718478821526</v>
      </c>
      <c r="C146" s="2">
        <f>IF(ISBLANK($B146),-1,IFERROR(IF($B146&gt;0.9,2,IF($B146&lt;0.3,1,0)),-1))</f>
        <v>0</v>
      </c>
      <c r="D146" s="38"/>
      <c r="F146" s="62" t="s">
        <v>127</v>
      </c>
      <c r="G146" s="17" t="s">
        <v>128</v>
      </c>
      <c r="H146" s="25"/>
      <c r="I146" s="63" t="s">
        <v>25</v>
      </c>
      <c r="J146" s="64" t="s">
        <v>26</v>
      </c>
      <c r="K146" s="10">
        <v>1</v>
      </c>
      <c r="L146" s="65">
        <v>72566.37</v>
      </c>
      <c r="M146" s="65">
        <v>9433.6299999999992</v>
      </c>
      <c r="N146" s="65">
        <v>82000</v>
      </c>
      <c r="O146" s="66">
        <v>48111.23</v>
      </c>
      <c r="P146" s="65">
        <v>1490.85</v>
      </c>
      <c r="Q146" s="65">
        <v>1054.46</v>
      </c>
      <c r="R146" s="65">
        <v>50656.54</v>
      </c>
    </row>
    <row r="147" spans="1:18" ht="14.4" customHeight="1">
      <c r="A147" s="2">
        <f>ROW()-4</f>
        <v>143</v>
      </c>
      <c r="B147" s="23">
        <f>R147/L147</f>
        <v>0.69807175168445768</v>
      </c>
      <c r="C147" s="2">
        <f>IF(ISBLANK($B147),-1,IFERROR(IF($B147&gt;0.9,2,IF($B147&lt;0.3,1,0)),-1))</f>
        <v>0</v>
      </c>
      <c r="D147" s="38"/>
      <c r="F147" s="62" t="s">
        <v>127</v>
      </c>
      <c r="G147" s="17" t="s">
        <v>128</v>
      </c>
      <c r="H147" s="25"/>
      <c r="I147" s="63" t="s">
        <v>25</v>
      </c>
      <c r="J147" s="64" t="s">
        <v>26</v>
      </c>
      <c r="K147" s="10">
        <v>1</v>
      </c>
      <c r="L147" s="65">
        <v>72566.38</v>
      </c>
      <c r="M147" s="65">
        <v>9433.6200000000008</v>
      </c>
      <c r="N147" s="65">
        <v>82000</v>
      </c>
      <c r="O147" s="66">
        <v>48111.23</v>
      </c>
      <c r="P147" s="65">
        <v>1490.85</v>
      </c>
      <c r="Q147" s="65">
        <v>1054.46</v>
      </c>
      <c r="R147" s="65">
        <v>50656.54</v>
      </c>
    </row>
    <row r="148" spans="1:18" ht="14.4" customHeight="1">
      <c r="A148" s="2">
        <f>ROW()-4</f>
        <v>144</v>
      </c>
      <c r="B148" s="23">
        <f>R148/L148</f>
        <v>0.61381266780499755</v>
      </c>
      <c r="C148" s="2">
        <f>IF(ISBLANK($B148),-1,IFERROR(IF($B148&gt;0.9,2,IF($B148&lt;0.3,1,0)),-1))</f>
        <v>0</v>
      </c>
      <c r="D148" s="38"/>
      <c r="F148" s="62" t="s">
        <v>129</v>
      </c>
      <c r="G148" s="17" t="s">
        <v>130</v>
      </c>
      <c r="H148" s="25"/>
      <c r="I148" s="63" t="s">
        <v>31</v>
      </c>
      <c r="J148" s="64" t="s">
        <v>32</v>
      </c>
      <c r="K148" s="10">
        <v>1</v>
      </c>
      <c r="L148" s="65">
        <v>75221.240000000005</v>
      </c>
      <c r="M148" s="65">
        <v>9778.76</v>
      </c>
      <c r="N148" s="65">
        <v>85000</v>
      </c>
      <c r="O148" s="66">
        <v>43672.5</v>
      </c>
      <c r="P148" s="65">
        <v>1101.56</v>
      </c>
      <c r="Q148" s="65">
        <v>1397.69</v>
      </c>
      <c r="R148" s="65">
        <v>46171.75</v>
      </c>
    </row>
    <row r="149" spans="1:18" ht="14.4" customHeight="1">
      <c r="A149" s="2">
        <f>ROW()-4</f>
        <v>145</v>
      </c>
      <c r="B149" s="23">
        <f>R149/L149</f>
        <v>0.75970743128966323</v>
      </c>
      <c r="C149" s="2">
        <f>IF(ISBLANK($B149),-1,IFERROR(IF($B149&gt;0.9,2,IF($B149&lt;0.3,1,0)),-1))</f>
        <v>0</v>
      </c>
      <c r="D149" s="38"/>
      <c r="F149" s="62" t="s">
        <v>131</v>
      </c>
      <c r="G149" s="17" t="s">
        <v>132</v>
      </c>
      <c r="H149" s="25"/>
      <c r="I149" s="63" t="s">
        <v>25</v>
      </c>
      <c r="J149" s="64" t="s">
        <v>26</v>
      </c>
      <c r="K149" s="10">
        <v>1</v>
      </c>
      <c r="L149" s="65">
        <v>51327.43</v>
      </c>
      <c r="M149" s="65">
        <v>6672.57</v>
      </c>
      <c r="N149" s="65">
        <v>58000</v>
      </c>
      <c r="O149" s="66">
        <v>36869.67</v>
      </c>
      <c r="P149" s="65">
        <v>1242.23</v>
      </c>
      <c r="Q149" s="65">
        <v>881.93</v>
      </c>
      <c r="R149" s="65">
        <v>38993.83</v>
      </c>
    </row>
    <row r="150" spans="1:18" ht="14.4" customHeight="1">
      <c r="A150" s="2">
        <f>ROW()-4</f>
        <v>146</v>
      </c>
      <c r="B150" s="23">
        <f>R150/L150</f>
        <v>0.85061320552613984</v>
      </c>
      <c r="C150" s="2">
        <f>IF(ISBLANK($B150),-1,IFERROR(IF($B150&gt;0.9,2,IF($B150&lt;0.3,1,0)),-1))</f>
        <v>0</v>
      </c>
      <c r="D150" s="38"/>
      <c r="F150" s="62" t="s">
        <v>133</v>
      </c>
      <c r="G150" s="17" t="s">
        <v>134</v>
      </c>
      <c r="H150" s="25"/>
      <c r="I150" s="63" t="s">
        <v>25</v>
      </c>
      <c r="J150" s="64" t="s">
        <v>26</v>
      </c>
      <c r="K150" s="10">
        <v>1</v>
      </c>
      <c r="L150" s="65">
        <v>63716.81</v>
      </c>
      <c r="M150" s="65">
        <v>8283.19</v>
      </c>
      <c r="N150" s="65">
        <v>72000</v>
      </c>
      <c r="O150" s="66">
        <v>51727</v>
      </c>
      <c r="P150" s="65">
        <v>993.72</v>
      </c>
      <c r="Q150" s="65">
        <v>1477.64</v>
      </c>
      <c r="R150" s="65">
        <v>54198.36</v>
      </c>
    </row>
    <row r="151" spans="1:18" ht="14.4" customHeight="1">
      <c r="A151" s="2">
        <f>ROW()-4</f>
        <v>147</v>
      </c>
      <c r="B151" s="23">
        <f>R151/L151</f>
        <v>0.7957808805275568</v>
      </c>
      <c r="C151" s="2">
        <f>IF(ISBLANK($B151),-1,IFERROR(IF($B151&gt;0.9,2,IF($B151&lt;0.3,1,0)),-1))</f>
        <v>0</v>
      </c>
      <c r="D151" s="38"/>
      <c r="F151" s="62" t="s">
        <v>135</v>
      </c>
      <c r="G151" s="17" t="s">
        <v>136</v>
      </c>
      <c r="H151" s="25"/>
      <c r="I151" s="63" t="s">
        <v>25</v>
      </c>
      <c r="J151" s="64" t="s">
        <v>26</v>
      </c>
      <c r="K151" s="10">
        <v>1</v>
      </c>
      <c r="L151" s="65">
        <v>63274.34</v>
      </c>
      <c r="M151" s="65">
        <v>8225.66</v>
      </c>
      <c r="N151" s="65">
        <v>71500</v>
      </c>
      <c r="O151" s="66">
        <v>48296.36</v>
      </c>
      <c r="P151" s="65">
        <v>1055.6099999999999</v>
      </c>
      <c r="Q151" s="65">
        <v>1000.54</v>
      </c>
      <c r="R151" s="65">
        <v>50352.51</v>
      </c>
    </row>
    <row r="152" spans="1:18" ht="14.4" customHeight="1">
      <c r="A152" s="2">
        <f>ROW()-4</f>
        <v>148</v>
      </c>
      <c r="B152" s="23">
        <f>R152/L152</f>
        <v>0.77815060010570736</v>
      </c>
      <c r="C152" s="2">
        <f>IF(ISBLANK($B152),-1,IFERROR(IF($B152&gt;0.9,2,IF($B152&lt;0.3,1,0)),-1))</f>
        <v>0</v>
      </c>
      <c r="D152" s="38"/>
      <c r="F152" s="62" t="s">
        <v>137</v>
      </c>
      <c r="G152" s="17" t="s">
        <v>138</v>
      </c>
      <c r="H152" s="25"/>
      <c r="I152" s="63" t="s">
        <v>25</v>
      </c>
      <c r="J152" s="64" t="s">
        <v>26</v>
      </c>
      <c r="K152" s="10">
        <v>1</v>
      </c>
      <c r="L152" s="65">
        <v>85840.71</v>
      </c>
      <c r="M152" s="65">
        <v>11159.29</v>
      </c>
      <c r="N152" s="65">
        <v>97000</v>
      </c>
      <c r="O152" s="66">
        <v>63863.14</v>
      </c>
      <c r="P152" s="65">
        <v>1158.1400000000001</v>
      </c>
      <c r="Q152" s="65">
        <v>1775.72</v>
      </c>
      <c r="R152" s="65">
        <v>66797</v>
      </c>
    </row>
    <row r="153" spans="1:18" ht="14.4" customHeight="1">
      <c r="A153" s="2">
        <f>ROW()-4</f>
        <v>149</v>
      </c>
      <c r="B153" s="23">
        <f>R153/L153</f>
        <v>0.77343022908361314</v>
      </c>
      <c r="C153" s="2">
        <f>IF(ISBLANK($B153),-1,IFERROR(IF($B153&gt;0.9,2,IF($B153&lt;0.3,1,0)),-1))</f>
        <v>0</v>
      </c>
      <c r="D153" s="38"/>
      <c r="F153" s="62" t="s">
        <v>137</v>
      </c>
      <c r="G153" s="17" t="s">
        <v>138</v>
      </c>
      <c r="H153" s="25"/>
      <c r="I153" s="63" t="s">
        <v>25</v>
      </c>
      <c r="J153" s="64" t="s">
        <v>26</v>
      </c>
      <c r="K153" s="10">
        <v>1</v>
      </c>
      <c r="L153" s="65">
        <v>85840.71</v>
      </c>
      <c r="M153" s="65">
        <v>11159.29</v>
      </c>
      <c r="N153" s="65">
        <v>97000</v>
      </c>
      <c r="O153" s="66">
        <v>63476.61</v>
      </c>
      <c r="P153" s="65">
        <v>1158.1400000000001</v>
      </c>
      <c r="Q153" s="65">
        <v>1757.05</v>
      </c>
      <c r="R153" s="65">
        <v>66391.8</v>
      </c>
    </row>
    <row r="154" spans="1:18" ht="14.4" customHeight="1">
      <c r="A154" s="2">
        <f>ROW()-4</f>
        <v>150</v>
      </c>
      <c r="B154" s="23">
        <f>R154/L154</f>
        <v>0.88339088799519538</v>
      </c>
      <c r="C154" s="2">
        <f>IF(ISBLANK($B154),-1,IFERROR(IF($B154&gt;0.9,2,IF($B154&lt;0.3,1,0)),-1))</f>
        <v>0</v>
      </c>
      <c r="D154" s="38"/>
      <c r="F154" s="62" t="s">
        <v>139</v>
      </c>
      <c r="G154" s="17" t="s">
        <v>140</v>
      </c>
      <c r="H154" s="25"/>
      <c r="I154" s="63" t="s">
        <v>25</v>
      </c>
      <c r="J154" s="64" t="s">
        <v>26</v>
      </c>
      <c r="K154" s="10">
        <v>1</v>
      </c>
      <c r="L154" s="65">
        <v>50884.959999999999</v>
      </c>
      <c r="M154" s="65">
        <v>6615.04</v>
      </c>
      <c r="N154" s="65">
        <v>57500</v>
      </c>
      <c r="O154" s="66">
        <v>43025.72</v>
      </c>
      <c r="P154" s="65">
        <v>923.61</v>
      </c>
      <c r="Q154" s="65">
        <v>1001.98</v>
      </c>
      <c r="R154" s="65">
        <v>44951.31</v>
      </c>
    </row>
    <row r="155" spans="1:18" ht="14.4" customHeight="1">
      <c r="A155" s="2">
        <f>ROW()-4</f>
        <v>151</v>
      </c>
      <c r="B155" s="23">
        <f>R155/L155</f>
        <v>0.84929288210229914</v>
      </c>
      <c r="C155" s="2">
        <f>IF(ISBLANK($B155),-1,IFERROR(IF($B155&gt;0.9,2,IF($B155&lt;0.3,1,0)),-1))</f>
        <v>0</v>
      </c>
      <c r="D155" s="38"/>
      <c r="F155" s="62" t="s">
        <v>139</v>
      </c>
      <c r="G155" s="17" t="s">
        <v>140</v>
      </c>
      <c r="H155" s="25"/>
      <c r="I155" s="63" t="s">
        <v>25</v>
      </c>
      <c r="J155" s="64" t="s">
        <v>26</v>
      </c>
      <c r="K155" s="10">
        <v>1</v>
      </c>
      <c r="L155" s="65">
        <v>55309.73</v>
      </c>
      <c r="M155" s="65">
        <v>7190.27</v>
      </c>
      <c r="N155" s="65">
        <v>62500</v>
      </c>
      <c r="O155" s="66">
        <v>45012.74</v>
      </c>
      <c r="P155" s="65">
        <v>923.61</v>
      </c>
      <c r="Q155" s="65">
        <v>1037.81</v>
      </c>
      <c r="R155" s="65">
        <v>46974.16</v>
      </c>
    </row>
    <row r="156" spans="1:18" ht="14.4" customHeight="1">
      <c r="A156" s="2">
        <f>ROW()-4</f>
        <v>152</v>
      </c>
      <c r="B156" s="23">
        <f>R156/L156</f>
        <v>0.67747262819291243</v>
      </c>
      <c r="C156" s="2">
        <f>IF(ISBLANK($B156),-1,IFERROR(IF($B156&gt;0.9,2,IF($B156&lt;0.3,1,0)),-1))</f>
        <v>0</v>
      </c>
      <c r="D156" s="38"/>
      <c r="F156" s="62" t="s">
        <v>141</v>
      </c>
      <c r="G156" s="17" t="s">
        <v>142</v>
      </c>
      <c r="H156" s="25"/>
      <c r="I156" s="63" t="s">
        <v>31</v>
      </c>
      <c r="J156" s="64" t="s">
        <v>32</v>
      </c>
      <c r="K156" s="10">
        <v>1</v>
      </c>
      <c r="L156" s="65">
        <v>71681.42</v>
      </c>
      <c r="M156" s="65">
        <v>9318.58</v>
      </c>
      <c r="N156" s="65">
        <v>81000</v>
      </c>
      <c r="O156" s="66">
        <v>46622.39</v>
      </c>
      <c r="P156" s="65">
        <v>1068.5999999999999</v>
      </c>
      <c r="Q156" s="65">
        <v>871.21</v>
      </c>
      <c r="R156" s="65">
        <v>48562.2</v>
      </c>
    </row>
    <row r="157" spans="1:18" ht="14.4" customHeight="1">
      <c r="A157" s="2">
        <f>ROW()-4</f>
        <v>153</v>
      </c>
      <c r="B157" s="23">
        <f>R157/L157</f>
        <v>0.77954909769496128</v>
      </c>
      <c r="C157" s="2">
        <f>IF(ISBLANK($B157),-1,IFERROR(IF($B157&gt;0.9,2,IF($B157&lt;0.3,1,0)),-1))</f>
        <v>0</v>
      </c>
      <c r="D157" s="38"/>
      <c r="F157" s="62" t="s">
        <v>143</v>
      </c>
      <c r="G157" s="17" t="s">
        <v>144</v>
      </c>
      <c r="H157" s="25"/>
      <c r="I157" s="63" t="s">
        <v>25</v>
      </c>
      <c r="J157" s="64" t="s">
        <v>26</v>
      </c>
      <c r="K157" s="10">
        <v>1</v>
      </c>
      <c r="L157" s="65">
        <v>49557.52</v>
      </c>
      <c r="M157" s="65">
        <v>6442.48</v>
      </c>
      <c r="N157" s="65">
        <v>56000</v>
      </c>
      <c r="O157" s="66">
        <v>36506.720000000001</v>
      </c>
      <c r="P157" s="65">
        <v>1064.83</v>
      </c>
      <c r="Q157" s="65">
        <v>1060.97</v>
      </c>
      <c r="R157" s="65">
        <v>38632.519999999997</v>
      </c>
    </row>
    <row r="158" spans="1:18" ht="14.4" customHeight="1">
      <c r="A158" s="2">
        <f>ROW()-4</f>
        <v>154</v>
      </c>
      <c r="B158" s="23">
        <f>R158/L158</f>
        <v>0.78615984384677629</v>
      </c>
      <c r="C158" s="2">
        <f>IF(ISBLANK($B158),-1,IFERROR(IF($B158&gt;0.9,2,IF($B158&lt;0.3,1,0)),-1))</f>
        <v>0</v>
      </c>
      <c r="D158" s="38"/>
      <c r="F158" s="62" t="s">
        <v>143</v>
      </c>
      <c r="G158" s="17" t="s">
        <v>144</v>
      </c>
      <c r="H158" s="25"/>
      <c r="I158" s="63" t="s">
        <v>25</v>
      </c>
      <c r="J158" s="64" t="s">
        <v>26</v>
      </c>
      <c r="K158" s="10">
        <v>1</v>
      </c>
      <c r="L158" s="65">
        <v>46902.65</v>
      </c>
      <c r="M158" s="65">
        <v>6097.35</v>
      </c>
      <c r="N158" s="65">
        <v>53000</v>
      </c>
      <c r="O158" s="66">
        <v>34808.400000000001</v>
      </c>
      <c r="P158" s="65">
        <v>1046.49</v>
      </c>
      <c r="Q158" s="65">
        <v>1018.09</v>
      </c>
      <c r="R158" s="65">
        <v>36872.980000000003</v>
      </c>
    </row>
    <row r="159" spans="1:18" ht="14.4" customHeight="1">
      <c r="A159" s="2">
        <f>ROW()-4</f>
        <v>155</v>
      </c>
      <c r="B159" s="23">
        <f>R159/L159</f>
        <v>0.61038607258797462</v>
      </c>
      <c r="C159" s="2">
        <f>IF(ISBLANK($B159),-1,IFERROR(IF($B159&gt;0.9,2,IF($B159&lt;0.3,1,0)),-1))</f>
        <v>0</v>
      </c>
      <c r="D159" s="38"/>
      <c r="F159" s="62" t="s">
        <v>145</v>
      </c>
      <c r="G159" s="17" t="s">
        <v>146</v>
      </c>
      <c r="H159" s="25"/>
      <c r="I159" s="63" t="s">
        <v>31</v>
      </c>
      <c r="J159" s="64" t="s">
        <v>32</v>
      </c>
      <c r="K159" s="10">
        <v>1</v>
      </c>
      <c r="L159" s="65">
        <v>74336.28</v>
      </c>
      <c r="M159" s="65">
        <v>9663.7199999999993</v>
      </c>
      <c r="N159" s="65">
        <v>84000</v>
      </c>
      <c r="O159" s="66">
        <v>43232.11</v>
      </c>
      <c r="P159" s="65">
        <v>1117.6300000000001</v>
      </c>
      <c r="Q159" s="65">
        <v>1024.0899999999999</v>
      </c>
      <c r="R159" s="65">
        <v>45373.83</v>
      </c>
    </row>
    <row r="160" spans="1:18" ht="14.4" customHeight="1">
      <c r="A160" s="2">
        <f>ROW()-4</f>
        <v>156</v>
      </c>
      <c r="B160" s="23">
        <f>R160/L160</f>
        <v>0.71106117836093807</v>
      </c>
      <c r="C160" s="2">
        <f>IF(ISBLANK($B160),-1,IFERROR(IF($B160&gt;0.9,2,IF($B160&lt;0.3,1,0)),-1))</f>
        <v>0</v>
      </c>
      <c r="D160" s="38"/>
      <c r="F160" s="62" t="s">
        <v>147</v>
      </c>
      <c r="G160" s="17" t="s">
        <v>148</v>
      </c>
      <c r="H160" s="25"/>
      <c r="I160" s="63" t="s">
        <v>31</v>
      </c>
      <c r="J160" s="64" t="s">
        <v>32</v>
      </c>
      <c r="K160" s="10">
        <v>1</v>
      </c>
      <c r="L160" s="65">
        <v>63716.81</v>
      </c>
      <c r="M160" s="65">
        <v>8283.19</v>
      </c>
      <c r="N160" s="65">
        <v>72000</v>
      </c>
      <c r="O160" s="66">
        <v>43486.11</v>
      </c>
      <c r="P160" s="65">
        <v>962.85</v>
      </c>
      <c r="Q160" s="65">
        <v>857.59</v>
      </c>
      <c r="R160" s="65">
        <v>45306.55</v>
      </c>
    </row>
    <row r="161" spans="1:21" ht="14.4" customHeight="1">
      <c r="A161" s="2">
        <f>ROW()-4</f>
        <v>157</v>
      </c>
      <c r="B161" s="23">
        <f>R161/L161</f>
        <v>0.79707351511267444</v>
      </c>
      <c r="C161" s="2">
        <f>IF(ISBLANK($B161),-1,IFERROR(IF($B161&gt;0.9,2,IF($B161&lt;0.3,1,0)),-1))</f>
        <v>0</v>
      </c>
      <c r="D161" s="38"/>
      <c r="F161" s="62" t="s">
        <v>149</v>
      </c>
      <c r="G161" s="17" t="s">
        <v>150</v>
      </c>
      <c r="H161" s="25"/>
      <c r="I161" s="63" t="s">
        <v>25</v>
      </c>
      <c r="J161" s="64" t="s">
        <v>26</v>
      </c>
      <c r="K161" s="10">
        <v>1</v>
      </c>
      <c r="L161" s="65">
        <v>55752.21</v>
      </c>
      <c r="M161" s="65">
        <v>7247.79</v>
      </c>
      <c r="N161" s="65">
        <v>63000</v>
      </c>
      <c r="O161" s="66">
        <v>41378.199999999997</v>
      </c>
      <c r="P161" s="65">
        <v>1521.71</v>
      </c>
      <c r="Q161" s="65">
        <v>1538.7</v>
      </c>
      <c r="R161" s="65">
        <v>44438.61</v>
      </c>
      <c r="S161" s="67"/>
      <c r="T161" s="67"/>
      <c r="U161" s="67"/>
    </row>
    <row r="162" spans="1:21" ht="14.4" customHeight="1">
      <c r="A162" s="2">
        <f>ROW()-4</f>
        <v>158</v>
      </c>
      <c r="B162" s="23">
        <f>R162/L162</f>
        <v>0.72963837827618505</v>
      </c>
      <c r="C162" s="2">
        <f>IF(ISBLANK($B162),-1,IFERROR(IF($B162&gt;0.9,2,IF($B162&lt;0.3,1,0)),-1))</f>
        <v>0</v>
      </c>
      <c r="D162" s="38"/>
      <c r="F162" s="62" t="s">
        <v>151</v>
      </c>
      <c r="G162" s="17" t="s">
        <v>152</v>
      </c>
      <c r="H162" s="25"/>
      <c r="I162" s="63" t="s">
        <v>25</v>
      </c>
      <c r="J162" s="64" t="s">
        <v>26</v>
      </c>
      <c r="K162" s="10">
        <v>1</v>
      </c>
      <c r="L162" s="65">
        <v>46017.7</v>
      </c>
      <c r="M162" s="65">
        <v>5982.3</v>
      </c>
      <c r="N162" s="65">
        <v>52000</v>
      </c>
      <c r="O162" s="66">
        <v>31498.27</v>
      </c>
      <c r="P162" s="65">
        <v>1064.4000000000001</v>
      </c>
      <c r="Q162" s="65">
        <v>1013.61</v>
      </c>
      <c r="R162" s="65">
        <v>33576.28</v>
      </c>
      <c r="S162" s="67"/>
      <c r="T162" s="67"/>
      <c r="U162" s="67"/>
    </row>
    <row r="163" spans="1:21" ht="14.4" customHeight="1">
      <c r="A163" s="2">
        <f>ROW()-4</f>
        <v>159</v>
      </c>
      <c r="B163" s="23">
        <f>R163/L163</f>
        <v>0.83953180589793808</v>
      </c>
      <c r="C163" s="2">
        <f>IF(ISBLANK($B163),-1,IFERROR(IF($B163&gt;0.9,2,IF($B163&lt;0.3,1,0)),-1))</f>
        <v>0</v>
      </c>
      <c r="D163" s="38"/>
      <c r="F163" s="62" t="s">
        <v>153</v>
      </c>
      <c r="G163" s="17" t="s">
        <v>154</v>
      </c>
      <c r="H163" s="25"/>
      <c r="I163" s="63" t="s">
        <v>25</v>
      </c>
      <c r="J163" s="64" t="s">
        <v>26</v>
      </c>
      <c r="K163" s="10">
        <v>1</v>
      </c>
      <c r="L163" s="65">
        <v>51327.43</v>
      </c>
      <c r="M163" s="65">
        <v>6672.57</v>
      </c>
      <c r="N163" s="65">
        <v>58000</v>
      </c>
      <c r="O163" s="66">
        <v>41137.08</v>
      </c>
      <c r="P163" s="65">
        <v>1019.11</v>
      </c>
      <c r="Q163" s="65">
        <v>934.82</v>
      </c>
      <c r="R163" s="65">
        <v>43091.01</v>
      </c>
      <c r="S163" s="67"/>
      <c r="T163" s="67"/>
      <c r="U163" s="67"/>
    </row>
    <row r="164" spans="1:21" ht="14.4" customHeight="1">
      <c r="A164" s="2">
        <f>ROW()-4</f>
        <v>160</v>
      </c>
      <c r="B164" s="23">
        <f>R164/L164</f>
        <v>0.60671523616614842</v>
      </c>
      <c r="C164" s="2">
        <f>IF(ISBLANK($B164),-1,IFERROR(IF($B164&gt;0.9,2,IF($B164&lt;0.3,1,0)),-1))</f>
        <v>0</v>
      </c>
      <c r="D164" s="38"/>
      <c r="F164" s="62" t="s">
        <v>155</v>
      </c>
      <c r="G164" s="17" t="s">
        <v>156</v>
      </c>
      <c r="H164" s="25"/>
      <c r="I164" s="63" t="s">
        <v>25</v>
      </c>
      <c r="J164" s="64" t="s">
        <v>26</v>
      </c>
      <c r="K164" s="10">
        <v>1</v>
      </c>
      <c r="L164" s="65">
        <v>52035.4</v>
      </c>
      <c r="M164" s="65">
        <v>6764.6</v>
      </c>
      <c r="N164" s="65">
        <v>58800</v>
      </c>
      <c r="O164" s="66">
        <v>29418.21</v>
      </c>
      <c r="P164" s="65">
        <v>1132.53</v>
      </c>
      <c r="Q164" s="65">
        <v>1019.93</v>
      </c>
      <c r="R164" s="65">
        <v>31570.67</v>
      </c>
      <c r="S164" s="67"/>
      <c r="T164" s="67"/>
      <c r="U164" s="67"/>
    </row>
    <row r="165" spans="1:21" ht="14.4" customHeight="1">
      <c r="A165" s="2">
        <f>ROW()-4</f>
        <v>161</v>
      </c>
      <c r="B165" s="23">
        <f>R165/L165</f>
        <v>0.79552911478330401</v>
      </c>
      <c r="C165" s="2">
        <f>IF(ISBLANK($B165),-1,IFERROR(IF($B165&gt;0.9,2,IF($B165&lt;0.3,1,0)),-1))</f>
        <v>0</v>
      </c>
      <c r="D165" s="38"/>
      <c r="F165" s="62" t="s">
        <v>157</v>
      </c>
      <c r="G165" s="17" t="s">
        <v>71</v>
      </c>
      <c r="H165" s="25"/>
      <c r="I165" s="63" t="s">
        <v>31</v>
      </c>
      <c r="J165" s="64" t="s">
        <v>32</v>
      </c>
      <c r="K165" s="10">
        <v>1</v>
      </c>
      <c r="L165" s="65">
        <v>74070.789999999994</v>
      </c>
      <c r="M165" s="65">
        <v>9629.2099999999991</v>
      </c>
      <c r="N165" s="65">
        <v>83700</v>
      </c>
      <c r="O165" s="66">
        <v>56717.4</v>
      </c>
      <c r="P165" s="65">
        <v>886.15</v>
      </c>
      <c r="Q165" s="65">
        <v>1321.92</v>
      </c>
      <c r="R165" s="65">
        <v>58925.47</v>
      </c>
      <c r="S165" s="67"/>
      <c r="T165" s="67"/>
      <c r="U165" s="67"/>
    </row>
    <row r="166" spans="1:21" ht="14.4" customHeight="1">
      <c r="A166" s="2">
        <f>ROW()-4</f>
        <v>162</v>
      </c>
      <c r="B166" s="23">
        <f>R166/L166</f>
        <v>0.79816324381537651</v>
      </c>
      <c r="C166" s="2">
        <f>IF(ISBLANK($B166),-1,IFERROR(IF($B166&gt;0.9,2,IF($B166&lt;0.3,1,0)),-1))</f>
        <v>0</v>
      </c>
      <c r="D166" s="38"/>
      <c r="F166" s="62" t="s">
        <v>157</v>
      </c>
      <c r="G166" s="17" t="s">
        <v>71</v>
      </c>
      <c r="H166" s="25"/>
      <c r="I166" s="63" t="s">
        <v>31</v>
      </c>
      <c r="J166" s="64" t="s">
        <v>32</v>
      </c>
      <c r="K166" s="10">
        <v>1</v>
      </c>
      <c r="L166" s="65">
        <v>74070.8</v>
      </c>
      <c r="M166" s="65">
        <v>9629.2000000000007</v>
      </c>
      <c r="N166" s="65">
        <v>83700</v>
      </c>
      <c r="O166" s="66">
        <v>56901.760000000002</v>
      </c>
      <c r="P166" s="65">
        <v>886.15</v>
      </c>
      <c r="Q166" s="65">
        <v>1332.68</v>
      </c>
      <c r="R166" s="65">
        <v>59120.59</v>
      </c>
      <c r="S166" s="67"/>
      <c r="T166" s="67"/>
      <c r="U166" s="67"/>
    </row>
    <row r="167" spans="1:21" ht="14.4" customHeight="1">
      <c r="A167" s="2">
        <f>ROW()-4</f>
        <v>163</v>
      </c>
      <c r="B167" s="23">
        <f>R167/L167</f>
        <v>0.70015836273292231</v>
      </c>
      <c r="C167" s="2">
        <f>IF(ISBLANK($B167),-1,IFERROR(IF($B167&gt;0.9,2,IF($B167&lt;0.3,1,0)),-1))</f>
        <v>0</v>
      </c>
      <c r="D167" s="38"/>
      <c r="F167" s="62" t="s">
        <v>158</v>
      </c>
      <c r="G167" s="17" t="s">
        <v>159</v>
      </c>
      <c r="H167" s="25"/>
      <c r="I167" s="63" t="s">
        <v>25</v>
      </c>
      <c r="J167" s="64" t="s">
        <v>26</v>
      </c>
      <c r="K167" s="10">
        <v>1</v>
      </c>
      <c r="L167" s="65">
        <v>55309.73</v>
      </c>
      <c r="M167" s="65">
        <v>7190.27</v>
      </c>
      <c r="N167" s="65">
        <v>62500</v>
      </c>
      <c r="O167" s="66">
        <v>36413.79</v>
      </c>
      <c r="P167" s="65">
        <v>1119.4000000000001</v>
      </c>
      <c r="Q167" s="65">
        <v>1192.3800000000001</v>
      </c>
      <c r="R167" s="65">
        <v>38725.57</v>
      </c>
      <c r="S167" s="67"/>
      <c r="T167" s="67"/>
      <c r="U167" s="67"/>
    </row>
    <row r="168" spans="1:21" ht="14.4" customHeight="1">
      <c r="A168" s="2">
        <f>ROW()-4</f>
        <v>164</v>
      </c>
      <c r="B168" s="23">
        <f>R168/L168</f>
        <v>0.7371138373846805</v>
      </c>
      <c r="C168" s="2">
        <f>IF(ISBLANK($B168),-1,IFERROR(IF($B168&gt;0.9,2,IF($B168&lt;0.3,1,0)),-1))</f>
        <v>0</v>
      </c>
      <c r="D168" s="38"/>
      <c r="F168" s="62" t="s">
        <v>160</v>
      </c>
      <c r="G168" s="17" t="s">
        <v>161</v>
      </c>
      <c r="H168" s="25"/>
      <c r="I168" s="63" t="s">
        <v>25</v>
      </c>
      <c r="J168" s="64" t="s">
        <v>26</v>
      </c>
      <c r="K168" s="10">
        <v>1</v>
      </c>
      <c r="L168" s="65">
        <v>50442.48</v>
      </c>
      <c r="M168" s="65">
        <v>6557.52</v>
      </c>
      <c r="N168" s="65">
        <v>57000</v>
      </c>
      <c r="O168" s="66">
        <v>34987.089999999997</v>
      </c>
      <c r="P168" s="65">
        <v>1067.52</v>
      </c>
      <c r="Q168" s="65">
        <v>1127.24</v>
      </c>
      <c r="R168" s="65">
        <v>37181.85</v>
      </c>
      <c r="S168" s="67"/>
      <c r="T168" s="67"/>
      <c r="U168" s="67"/>
    </row>
    <row r="169" spans="1:21" ht="14.4" customHeight="1">
      <c r="A169" s="2">
        <f>ROW()-4</f>
        <v>165</v>
      </c>
      <c r="B169" s="23">
        <f>R169/L169</f>
        <v>0.76752196212567103</v>
      </c>
      <c r="C169" s="2">
        <f>IF(ISBLANK($B169),-1,IFERROR(IF($B169&gt;0.9,2,IF($B169&lt;0.3,1,0)),-1))</f>
        <v>0</v>
      </c>
      <c r="D169" s="38"/>
      <c r="F169" s="62" t="s">
        <v>162</v>
      </c>
      <c r="G169" s="17" t="s">
        <v>163</v>
      </c>
      <c r="H169" s="25"/>
      <c r="I169" s="63" t="s">
        <v>25</v>
      </c>
      <c r="J169" s="64" t="s">
        <v>26</v>
      </c>
      <c r="K169" s="10">
        <v>1</v>
      </c>
      <c r="L169" s="65">
        <v>61061.94</v>
      </c>
      <c r="M169" s="65">
        <v>7938.06</v>
      </c>
      <c r="N169" s="65">
        <v>69000</v>
      </c>
      <c r="O169" s="66">
        <v>44907.040000000001</v>
      </c>
      <c r="P169" s="65">
        <v>890.02</v>
      </c>
      <c r="Q169" s="65">
        <v>1069.32</v>
      </c>
      <c r="R169" s="65">
        <v>46866.38</v>
      </c>
      <c r="S169" s="67"/>
      <c r="T169" s="67"/>
      <c r="U169" s="67"/>
    </row>
    <row r="170" spans="1:21" ht="14.4" customHeight="1">
      <c r="A170" s="2">
        <f>ROW()-4</f>
        <v>166</v>
      </c>
      <c r="B170" s="23">
        <f>R170/L170</f>
        <v>0.76752183643005178</v>
      </c>
      <c r="C170" s="2">
        <f>IF(ISBLANK($B170),-1,IFERROR(IF($B170&gt;0.9,2,IF($B170&lt;0.3,1,0)),-1))</f>
        <v>0</v>
      </c>
      <c r="D170" s="38"/>
      <c r="F170" s="62" t="s">
        <v>162</v>
      </c>
      <c r="G170" s="17" t="s">
        <v>163</v>
      </c>
      <c r="H170" s="25"/>
      <c r="I170" s="63" t="s">
        <v>25</v>
      </c>
      <c r="J170" s="64" t="s">
        <v>26</v>
      </c>
      <c r="K170" s="10">
        <v>1</v>
      </c>
      <c r="L170" s="65">
        <v>61061.95</v>
      </c>
      <c r="M170" s="65">
        <v>7938.05</v>
      </c>
      <c r="N170" s="65">
        <v>69000</v>
      </c>
      <c r="O170" s="66">
        <v>44907.040000000001</v>
      </c>
      <c r="P170" s="65">
        <v>890.02</v>
      </c>
      <c r="Q170" s="65">
        <v>1069.32</v>
      </c>
      <c r="R170" s="65">
        <v>46866.38</v>
      </c>
      <c r="S170" s="67"/>
      <c r="T170" s="67"/>
      <c r="U170" s="67"/>
    </row>
    <row r="171" spans="1:21" ht="14.4" customHeight="1">
      <c r="A171" s="2">
        <f>ROW()-4</f>
        <v>167</v>
      </c>
      <c r="B171" s="23">
        <f>R171/L171</f>
        <v>0.57578688770803088</v>
      </c>
      <c r="C171" s="2">
        <f>IF(ISBLANK($B171),-1,IFERROR(IF($B171&gt;0.9,2,IF($B171&lt;0.3,1,0)),-1))</f>
        <v>0</v>
      </c>
      <c r="D171" s="38"/>
      <c r="F171" s="62" t="s">
        <v>164</v>
      </c>
      <c r="G171" s="17" t="s">
        <v>165</v>
      </c>
      <c r="H171" s="25"/>
      <c r="I171" s="63" t="s">
        <v>25</v>
      </c>
      <c r="J171" s="64" t="s">
        <v>26</v>
      </c>
      <c r="K171" s="10">
        <v>1</v>
      </c>
      <c r="L171" s="65">
        <v>55929.2</v>
      </c>
      <c r="M171" s="65">
        <v>7270.8</v>
      </c>
      <c r="N171" s="65">
        <v>63200</v>
      </c>
      <c r="O171" s="66">
        <v>29801.919999999998</v>
      </c>
      <c r="P171" s="65">
        <v>1365.25</v>
      </c>
      <c r="Q171" s="65">
        <v>1036.1300000000001</v>
      </c>
      <c r="R171" s="65">
        <v>32203.3</v>
      </c>
      <c r="S171" s="67"/>
      <c r="T171" s="67"/>
      <c r="U171" s="67"/>
    </row>
    <row r="172" spans="1:21" ht="14.4" customHeight="1">
      <c r="A172" s="2">
        <f>ROW()-4</f>
        <v>168</v>
      </c>
      <c r="B172" s="23">
        <f>R172/L172</f>
        <v>0.64745391012393205</v>
      </c>
      <c r="C172" s="2">
        <f>IF(ISBLANK($B172),-1,IFERROR(IF($B172&gt;0.9,2,IF($B172&lt;0.3,1,0)),-1))</f>
        <v>0</v>
      </c>
      <c r="D172" s="38"/>
      <c r="F172" s="62" t="s">
        <v>166</v>
      </c>
      <c r="G172" s="17" t="s">
        <v>167</v>
      </c>
      <c r="H172" s="25"/>
      <c r="I172" s="63" t="s">
        <v>25</v>
      </c>
      <c r="J172" s="64" t="s">
        <v>26</v>
      </c>
      <c r="K172" s="10">
        <v>1</v>
      </c>
      <c r="L172" s="65">
        <v>72566.37</v>
      </c>
      <c r="M172" s="65">
        <v>9433.6299999999992</v>
      </c>
      <c r="N172" s="65">
        <v>82000</v>
      </c>
      <c r="O172" s="66">
        <v>44893.31</v>
      </c>
      <c r="P172" s="65">
        <v>908.48</v>
      </c>
      <c r="Q172" s="65">
        <v>1181.5899999999999</v>
      </c>
      <c r="R172" s="65">
        <v>46983.38</v>
      </c>
      <c r="S172" s="67"/>
      <c r="T172" s="67"/>
      <c r="U172" s="67"/>
    </row>
    <row r="173" spans="1:21" ht="14.4" customHeight="1">
      <c r="A173" s="2">
        <f>ROW()-4</f>
        <v>169</v>
      </c>
      <c r="B173" s="23">
        <f>R173/L173</f>
        <v>0.85031539886120855</v>
      </c>
      <c r="C173" s="2">
        <f>IF(ISBLANK($B173),-1,IFERROR(IF($B173&gt;0.9,2,IF($B173&lt;0.3,1,0)),-1))</f>
        <v>0</v>
      </c>
      <c r="D173" s="38"/>
      <c r="F173" s="62" t="s">
        <v>168</v>
      </c>
      <c r="G173" s="17" t="s">
        <v>169</v>
      </c>
      <c r="H173" s="25"/>
      <c r="I173" s="63" t="s">
        <v>25</v>
      </c>
      <c r="J173" s="64" t="s">
        <v>26</v>
      </c>
      <c r="K173" s="10">
        <v>1</v>
      </c>
      <c r="L173" s="65">
        <v>86902.66</v>
      </c>
      <c r="M173" s="65">
        <v>11297.34</v>
      </c>
      <c r="N173" s="65">
        <v>98200</v>
      </c>
      <c r="O173" s="66">
        <v>70689.06</v>
      </c>
      <c r="P173" s="65">
        <v>1165.68</v>
      </c>
      <c r="Q173" s="65">
        <v>2039.93</v>
      </c>
      <c r="R173" s="65">
        <v>73894.67</v>
      </c>
      <c r="S173" s="67"/>
      <c r="T173" s="67"/>
      <c r="U173" s="67"/>
    </row>
    <row r="174" spans="1:21" ht="14.4" customHeight="1">
      <c r="A174" s="2">
        <f>ROW()-4</f>
        <v>170</v>
      </c>
      <c r="B174" s="23">
        <f>R174/L174</f>
        <v>0.85031572685067724</v>
      </c>
      <c r="C174" s="2">
        <f>IF(ISBLANK($B174),-1,IFERROR(IF($B174&gt;0.9,2,IF($B174&lt;0.3,1,0)),-1))</f>
        <v>0</v>
      </c>
      <c r="D174" s="38"/>
      <c r="F174" s="62" t="s">
        <v>168</v>
      </c>
      <c r="G174" s="17" t="s">
        <v>169</v>
      </c>
      <c r="H174" s="25"/>
      <c r="I174" s="63" t="s">
        <v>25</v>
      </c>
      <c r="J174" s="64" t="s">
        <v>26</v>
      </c>
      <c r="K174" s="10">
        <v>1</v>
      </c>
      <c r="L174" s="65">
        <v>86902.65</v>
      </c>
      <c r="M174" s="65">
        <v>11297.35</v>
      </c>
      <c r="N174" s="65">
        <v>98200</v>
      </c>
      <c r="O174" s="66">
        <v>70689.08</v>
      </c>
      <c r="P174" s="65">
        <v>1165.68</v>
      </c>
      <c r="Q174" s="65">
        <v>2039.93</v>
      </c>
      <c r="R174" s="65">
        <v>73894.69</v>
      </c>
      <c r="S174" s="67"/>
      <c r="T174" s="67"/>
      <c r="U174" s="67"/>
    </row>
    <row r="175" spans="1:21" ht="14.4" customHeight="1">
      <c r="A175" s="2">
        <f>ROW()-4</f>
        <v>171</v>
      </c>
      <c r="B175" s="23">
        <f>R175/L175</f>
        <v>0.86524373415003786</v>
      </c>
      <c r="C175" s="2">
        <f>IF(ISBLANK($B175),-1,IFERROR(IF($B175&gt;0.9,2,IF($B175&lt;0.3,1,0)),-1))</f>
        <v>0</v>
      </c>
      <c r="D175" s="38"/>
      <c r="F175" s="62" t="s">
        <v>168</v>
      </c>
      <c r="G175" s="17" t="s">
        <v>169</v>
      </c>
      <c r="H175" s="25"/>
      <c r="I175" s="63" t="s">
        <v>25</v>
      </c>
      <c r="J175" s="64" t="s">
        <v>26</v>
      </c>
      <c r="K175" s="10">
        <v>1</v>
      </c>
      <c r="L175" s="65">
        <v>73008.850000000006</v>
      </c>
      <c r="M175" s="65">
        <v>9491.15</v>
      </c>
      <c r="N175" s="65">
        <v>82500</v>
      </c>
      <c r="O175" s="66">
        <v>60082.89</v>
      </c>
      <c r="P175" s="65">
        <v>1331.06</v>
      </c>
      <c r="Q175" s="65">
        <v>1756.5</v>
      </c>
      <c r="R175" s="65">
        <v>63170.45</v>
      </c>
      <c r="S175" s="67"/>
      <c r="T175" s="67"/>
      <c r="U175" s="67"/>
    </row>
    <row r="176" spans="1:21" ht="14.4" customHeight="1">
      <c r="A176" s="2">
        <f>ROW()-4</f>
        <v>172</v>
      </c>
      <c r="B176" s="23">
        <f>R176/L176</f>
        <v>0.76868973023230913</v>
      </c>
      <c r="C176" s="2">
        <f>IF(ISBLANK($B176),-1,IFERROR(IF($B176&gt;0.9,2,IF($B176&lt;0.3,1,0)),-1))</f>
        <v>0</v>
      </c>
      <c r="D176" s="38"/>
      <c r="F176" s="62" t="s">
        <v>170</v>
      </c>
      <c r="G176" s="17" t="s">
        <v>171</v>
      </c>
      <c r="H176" s="25"/>
      <c r="I176" s="63" t="s">
        <v>25</v>
      </c>
      <c r="J176" s="64" t="s">
        <v>26</v>
      </c>
      <c r="K176" s="10">
        <v>1</v>
      </c>
      <c r="L176" s="65">
        <v>80707.960000000006</v>
      </c>
      <c r="M176" s="65">
        <v>10492.04</v>
      </c>
      <c r="N176" s="65">
        <v>91200</v>
      </c>
      <c r="O176" s="66">
        <v>54537.24</v>
      </c>
      <c r="P176" s="65">
        <v>2400.0300000000002</v>
      </c>
      <c r="Q176" s="65">
        <v>5102.1099999999997</v>
      </c>
      <c r="R176" s="65">
        <v>62039.38</v>
      </c>
      <c r="S176" s="67"/>
      <c r="T176" s="67"/>
      <c r="U176" s="67"/>
    </row>
    <row r="177" spans="1:21" ht="14.4" customHeight="1">
      <c r="A177" s="2">
        <f>ROW()-4</f>
        <v>173</v>
      </c>
      <c r="B177" s="23">
        <f>R177/L177</f>
        <v>0.73326679321368704</v>
      </c>
      <c r="C177" s="2">
        <f>IF(ISBLANK($B177),-1,IFERROR(IF($B177&gt;0.9,2,IF($B177&lt;0.3,1,0)),-1))</f>
        <v>0</v>
      </c>
      <c r="D177" s="38"/>
      <c r="F177" s="62" t="s">
        <v>172</v>
      </c>
      <c r="G177" s="17" t="s">
        <v>173</v>
      </c>
      <c r="H177" s="25"/>
      <c r="I177" s="63" t="s">
        <v>25</v>
      </c>
      <c r="J177" s="64" t="s">
        <v>26</v>
      </c>
      <c r="K177" s="10">
        <v>1</v>
      </c>
      <c r="L177" s="65">
        <v>51327.43</v>
      </c>
      <c r="M177" s="65">
        <v>6672.57</v>
      </c>
      <c r="N177" s="65">
        <v>58000</v>
      </c>
      <c r="O177" s="66">
        <v>35214.44</v>
      </c>
      <c r="P177" s="65">
        <v>1324.43</v>
      </c>
      <c r="Q177" s="65">
        <v>1097.83</v>
      </c>
      <c r="R177" s="65">
        <v>37636.699999999997</v>
      </c>
      <c r="S177" s="67"/>
      <c r="T177" s="67"/>
      <c r="U177" s="67"/>
    </row>
    <row r="178" spans="1:21" ht="14.4" customHeight="1">
      <c r="A178" s="2">
        <f>ROW()-4</f>
        <v>174</v>
      </c>
      <c r="B178" s="23">
        <f>R178/L178</f>
        <v>0.71739112280880157</v>
      </c>
      <c r="C178" s="2">
        <f>IF(ISBLANK($B178),-1,IFERROR(IF($B178&gt;0.9,2,IF($B178&lt;0.3,1,0)),-1))</f>
        <v>0</v>
      </c>
      <c r="D178" s="38"/>
      <c r="F178" s="62" t="s">
        <v>174</v>
      </c>
      <c r="G178" s="17" t="s">
        <v>175</v>
      </c>
      <c r="H178" s="25"/>
      <c r="I178" s="63" t="s">
        <v>31</v>
      </c>
      <c r="J178" s="64" t="s">
        <v>32</v>
      </c>
      <c r="K178" s="10">
        <v>1</v>
      </c>
      <c r="L178" s="65">
        <v>94601.77</v>
      </c>
      <c r="M178" s="65">
        <v>12298.23</v>
      </c>
      <c r="N178" s="65">
        <v>106900</v>
      </c>
      <c r="O178" s="66">
        <v>64797.56</v>
      </c>
      <c r="P178" s="65">
        <v>1387.21</v>
      </c>
      <c r="Q178" s="65">
        <v>1681.7</v>
      </c>
      <c r="R178" s="65">
        <v>67866.47</v>
      </c>
      <c r="S178" s="67"/>
      <c r="T178" s="67"/>
      <c r="U178" s="67"/>
    </row>
    <row r="179" spans="1:21" ht="14.4" customHeight="1">
      <c r="A179" s="2">
        <f>ROW()-4</f>
        <v>175</v>
      </c>
      <c r="B179" s="23">
        <f>R179/L179</f>
        <v>0.71740983281813864</v>
      </c>
      <c r="C179" s="2">
        <f>IF(ISBLANK($B179),-1,IFERROR(IF($B179&gt;0.9,2,IF($B179&lt;0.3,1,0)),-1))</f>
        <v>0</v>
      </c>
      <c r="D179" s="38"/>
      <c r="F179" s="62" t="s">
        <v>174</v>
      </c>
      <c r="G179" s="17" t="s">
        <v>175</v>
      </c>
      <c r="H179" s="25"/>
      <c r="I179" s="63" t="s">
        <v>31</v>
      </c>
      <c r="J179" s="64" t="s">
        <v>32</v>
      </c>
      <c r="K179" s="10">
        <v>1</v>
      </c>
      <c r="L179" s="65">
        <v>94601.77</v>
      </c>
      <c r="M179" s="65">
        <v>12298.23</v>
      </c>
      <c r="N179" s="65">
        <v>106900</v>
      </c>
      <c r="O179" s="66">
        <v>64799.32</v>
      </c>
      <c r="P179" s="65">
        <v>1387.21</v>
      </c>
      <c r="Q179" s="65">
        <v>1681.71</v>
      </c>
      <c r="R179" s="65">
        <v>67868.240000000005</v>
      </c>
      <c r="S179" s="67"/>
      <c r="T179" s="67"/>
      <c r="U179" s="67"/>
    </row>
    <row r="180" spans="1:21" ht="14.4" customHeight="1">
      <c r="A180" s="2">
        <f>ROW()-4</f>
        <v>176</v>
      </c>
      <c r="B180" s="23">
        <f>R180/L180</f>
        <v>0.79233991903550738</v>
      </c>
      <c r="C180" s="2">
        <f>IF(ISBLANK($B180),-1,IFERROR(IF($B180&gt;0.9,2,IF($B180&lt;0.3,1,0)),-1))</f>
        <v>0</v>
      </c>
      <c r="D180" s="38"/>
      <c r="F180" s="62" t="s">
        <v>174</v>
      </c>
      <c r="G180" s="17" t="s">
        <v>175</v>
      </c>
      <c r="H180" s="25"/>
      <c r="I180" s="63" t="s">
        <v>31</v>
      </c>
      <c r="J180" s="64" t="s">
        <v>32</v>
      </c>
      <c r="K180" s="10">
        <v>1</v>
      </c>
      <c r="L180" s="65">
        <v>63716.82</v>
      </c>
      <c r="M180" s="65">
        <v>8283.18</v>
      </c>
      <c r="N180" s="65">
        <v>72000</v>
      </c>
      <c r="O180" s="66">
        <v>48117.59</v>
      </c>
      <c r="P180" s="65">
        <v>1165.67</v>
      </c>
      <c r="Q180" s="65">
        <v>1202.1199999999999</v>
      </c>
      <c r="R180" s="65">
        <v>50485.38</v>
      </c>
      <c r="S180" s="67"/>
      <c r="T180" s="67"/>
      <c r="U180" s="67"/>
    </row>
    <row r="181" spans="1:21" ht="14.4" customHeight="1">
      <c r="A181" s="2">
        <f>ROW()-4</f>
        <v>177</v>
      </c>
      <c r="B181" s="23">
        <f>R181/L181</f>
        <v>0.79234035727777341</v>
      </c>
      <c r="C181" s="2">
        <f>IF(ISBLANK($B181),-1,IFERROR(IF($B181&gt;0.9,2,IF($B181&lt;0.3,1,0)),-1))</f>
        <v>0</v>
      </c>
      <c r="D181" s="38"/>
      <c r="F181" s="62" t="s">
        <v>174</v>
      </c>
      <c r="G181" s="17" t="s">
        <v>175</v>
      </c>
      <c r="H181" s="25"/>
      <c r="I181" s="63" t="s">
        <v>31</v>
      </c>
      <c r="J181" s="64" t="s">
        <v>32</v>
      </c>
      <c r="K181" s="10">
        <v>1</v>
      </c>
      <c r="L181" s="65">
        <v>63716.81</v>
      </c>
      <c r="M181" s="65">
        <v>8283.19</v>
      </c>
      <c r="N181" s="65">
        <v>72000</v>
      </c>
      <c r="O181" s="66">
        <v>48117.61</v>
      </c>
      <c r="P181" s="65">
        <v>1165.67</v>
      </c>
      <c r="Q181" s="65">
        <v>1202.1199999999999</v>
      </c>
      <c r="R181" s="65">
        <v>50485.4</v>
      </c>
      <c r="S181" s="67"/>
      <c r="T181" s="67"/>
      <c r="U181" s="67"/>
    </row>
    <row r="182" spans="1:21" ht="14.4" customHeight="1">
      <c r="A182" s="2">
        <f>ROW()-4</f>
        <v>178</v>
      </c>
      <c r="B182" s="23">
        <f>R182/L182</f>
        <v>0.67194626963469906</v>
      </c>
      <c r="C182" s="2">
        <f>IF(ISBLANK($B182),-1,IFERROR(IF($B182&gt;0.9,2,IF($B182&lt;0.3,1,0)),-1))</f>
        <v>0</v>
      </c>
      <c r="D182" s="38"/>
      <c r="F182" s="62" t="s">
        <v>176</v>
      </c>
      <c r="G182" s="17" t="s">
        <v>177</v>
      </c>
      <c r="H182" s="25"/>
      <c r="I182" s="63" t="s">
        <v>25</v>
      </c>
      <c r="J182" s="64" t="s">
        <v>26</v>
      </c>
      <c r="K182" s="10">
        <v>1</v>
      </c>
      <c r="L182" s="65">
        <v>65929.2</v>
      </c>
      <c r="M182" s="65">
        <v>8570.7999999999993</v>
      </c>
      <c r="N182" s="65">
        <v>74500</v>
      </c>
      <c r="O182" s="66">
        <v>41943.16</v>
      </c>
      <c r="P182" s="65">
        <v>1082.8699999999999</v>
      </c>
      <c r="Q182" s="65">
        <v>1274.8499999999999</v>
      </c>
      <c r="R182" s="65">
        <v>44300.88</v>
      </c>
      <c r="S182" s="67"/>
      <c r="T182" s="67"/>
      <c r="U182" s="67"/>
    </row>
    <row r="183" spans="1:21" ht="14.4" customHeight="1">
      <c r="A183" s="2">
        <f>ROW()-4</f>
        <v>179</v>
      </c>
      <c r="B183" s="23">
        <f>R183/L183</f>
        <v>0.67194616771534188</v>
      </c>
      <c r="C183" s="2">
        <f>IF(ISBLANK($B183),-1,IFERROR(IF($B183&gt;0.9,2,IF($B183&lt;0.3,1,0)),-1))</f>
        <v>0</v>
      </c>
      <c r="D183" s="38"/>
      <c r="F183" s="62" t="s">
        <v>176</v>
      </c>
      <c r="G183" s="17" t="s">
        <v>177</v>
      </c>
      <c r="H183" s="25"/>
      <c r="I183" s="63" t="s">
        <v>25</v>
      </c>
      <c r="J183" s="64" t="s">
        <v>26</v>
      </c>
      <c r="K183" s="10">
        <v>1</v>
      </c>
      <c r="L183" s="65">
        <v>65929.210000000006</v>
      </c>
      <c r="M183" s="65">
        <v>8570.7900000000009</v>
      </c>
      <c r="N183" s="65">
        <v>74500</v>
      </c>
      <c r="O183" s="66">
        <v>41943.16</v>
      </c>
      <c r="P183" s="65">
        <v>1082.8699999999999</v>
      </c>
      <c r="Q183" s="65">
        <v>1274.8499999999999</v>
      </c>
      <c r="R183" s="65">
        <v>44300.88</v>
      </c>
      <c r="S183" s="67"/>
      <c r="T183" s="67"/>
      <c r="U183" s="67"/>
    </row>
    <row r="184" spans="1:21" ht="14.4" customHeight="1">
      <c r="A184" s="2">
        <f>ROW()-4</f>
        <v>180</v>
      </c>
      <c r="B184" s="23">
        <f>R184/L184</f>
        <v>0.7082976506350428</v>
      </c>
      <c r="C184" s="2">
        <f>IF(ISBLANK($B184),-1,IFERROR(IF($B184&gt;0.9,2,IF($B184&lt;0.3,1,0)),-1))</f>
        <v>0</v>
      </c>
      <c r="D184" s="38"/>
      <c r="F184" s="62" t="s">
        <v>176</v>
      </c>
      <c r="G184" s="17" t="s">
        <v>177</v>
      </c>
      <c r="H184" s="25"/>
      <c r="I184" s="63" t="s">
        <v>25</v>
      </c>
      <c r="J184" s="64" t="s">
        <v>26</v>
      </c>
      <c r="K184" s="10">
        <v>1</v>
      </c>
      <c r="L184" s="65">
        <v>57964.6</v>
      </c>
      <c r="M184" s="65">
        <v>7535.4</v>
      </c>
      <c r="N184" s="65">
        <v>65500</v>
      </c>
      <c r="O184" s="66">
        <v>38874.620000000003</v>
      </c>
      <c r="P184" s="65">
        <v>1003.3</v>
      </c>
      <c r="Q184" s="65">
        <v>1178.27</v>
      </c>
      <c r="R184" s="65">
        <v>41056.19</v>
      </c>
      <c r="S184" s="67"/>
      <c r="T184" s="67"/>
      <c r="U184" s="67"/>
    </row>
    <row r="185" spans="1:21" ht="14.4" customHeight="1">
      <c r="A185" s="2">
        <f>ROW()-4</f>
        <v>181</v>
      </c>
      <c r="B185" s="23">
        <f>R185/L185</f>
        <v>0.7082976506350428</v>
      </c>
      <c r="C185" s="2">
        <f>IF(ISBLANK($B185),-1,IFERROR(IF($B185&gt;0.9,2,IF($B185&lt;0.3,1,0)),-1))</f>
        <v>0</v>
      </c>
      <c r="D185" s="38"/>
      <c r="F185" s="62" t="s">
        <v>176</v>
      </c>
      <c r="G185" s="17" t="s">
        <v>177</v>
      </c>
      <c r="H185" s="25"/>
      <c r="I185" s="63" t="s">
        <v>25</v>
      </c>
      <c r="J185" s="64" t="s">
        <v>26</v>
      </c>
      <c r="K185" s="10">
        <v>1</v>
      </c>
      <c r="L185" s="65">
        <v>57964.6</v>
      </c>
      <c r="M185" s="65">
        <v>7535.4</v>
      </c>
      <c r="N185" s="65">
        <v>65500</v>
      </c>
      <c r="O185" s="66">
        <v>38874.620000000003</v>
      </c>
      <c r="P185" s="65">
        <v>1003.3</v>
      </c>
      <c r="Q185" s="65">
        <v>1178.27</v>
      </c>
      <c r="R185" s="65">
        <v>41056.19</v>
      </c>
      <c r="S185" s="67"/>
      <c r="T185" s="67"/>
      <c r="U185" s="67"/>
    </row>
    <row r="186" spans="1:21" ht="14.4" customHeight="1">
      <c r="A186" s="2">
        <f>ROW()-4</f>
        <v>182</v>
      </c>
      <c r="B186" s="23">
        <f>R186/L186</f>
        <v>0.70829752844019833</v>
      </c>
      <c r="C186" s="2">
        <f>IF(ISBLANK($B186),-1,IFERROR(IF($B186&gt;0.9,2,IF($B186&lt;0.3,1,0)),-1))</f>
        <v>0</v>
      </c>
      <c r="D186" s="38"/>
      <c r="F186" s="62" t="s">
        <v>176</v>
      </c>
      <c r="G186" s="17" t="s">
        <v>177</v>
      </c>
      <c r="H186" s="25"/>
      <c r="I186" s="63" t="s">
        <v>25</v>
      </c>
      <c r="J186" s="64" t="s">
        <v>26</v>
      </c>
      <c r="K186" s="10">
        <v>1</v>
      </c>
      <c r="L186" s="65">
        <v>57964.61</v>
      </c>
      <c r="M186" s="65">
        <v>7535.39</v>
      </c>
      <c r="N186" s="65">
        <v>65500</v>
      </c>
      <c r="O186" s="66">
        <v>38874.620000000003</v>
      </c>
      <c r="P186" s="65">
        <v>1003.3</v>
      </c>
      <c r="Q186" s="65">
        <v>1178.27</v>
      </c>
      <c r="R186" s="65">
        <v>41056.19</v>
      </c>
      <c r="S186" s="67"/>
      <c r="T186" s="67"/>
      <c r="U186" s="67"/>
    </row>
    <row r="187" spans="1:21" ht="14.4" customHeight="1">
      <c r="A187" s="2">
        <f>ROW()-4</f>
        <v>183</v>
      </c>
      <c r="B187" s="23">
        <f>R187/L187</f>
        <v>0.86222755851251431</v>
      </c>
      <c r="C187" s="2">
        <f>IF(ISBLANK($B187),-1,IFERROR(IF($B187&gt;0.9,2,IF($B187&lt;0.3,1,0)),-1))</f>
        <v>0</v>
      </c>
      <c r="D187" s="38"/>
      <c r="F187" s="62" t="s">
        <v>178</v>
      </c>
      <c r="G187" s="17" t="s">
        <v>71</v>
      </c>
      <c r="H187" s="25"/>
      <c r="I187" s="63" t="s">
        <v>25</v>
      </c>
      <c r="J187" s="64" t="s">
        <v>26</v>
      </c>
      <c r="K187" s="10">
        <v>1</v>
      </c>
      <c r="L187" s="65">
        <v>62123.89</v>
      </c>
      <c r="M187" s="65">
        <v>8076.11</v>
      </c>
      <c r="N187" s="65">
        <v>70200</v>
      </c>
      <c r="O187" s="66">
        <v>51058.85</v>
      </c>
      <c r="P187" s="65">
        <v>1038.1400000000001</v>
      </c>
      <c r="Q187" s="65">
        <v>1467.94</v>
      </c>
      <c r="R187" s="65">
        <v>53564.93</v>
      </c>
      <c r="S187" s="67"/>
      <c r="T187" s="67"/>
      <c r="U187" s="67"/>
    </row>
    <row r="188" spans="1:21" ht="14.4" customHeight="1">
      <c r="A188" s="2">
        <f>ROW()-4</f>
        <v>184</v>
      </c>
      <c r="B188" s="23">
        <f>R188/L188</f>
        <v>0.8566300290115203</v>
      </c>
      <c r="C188" s="2">
        <f>IF(ISBLANK($B188),-1,IFERROR(IF($B188&gt;0.9,2,IF($B188&lt;0.3,1,0)),-1))</f>
        <v>0</v>
      </c>
      <c r="D188" s="38"/>
      <c r="F188" s="62" t="s">
        <v>178</v>
      </c>
      <c r="G188" s="17" t="s">
        <v>71</v>
      </c>
      <c r="H188" s="25"/>
      <c r="I188" s="63" t="s">
        <v>25</v>
      </c>
      <c r="J188" s="64" t="s">
        <v>26</v>
      </c>
      <c r="K188" s="10">
        <v>1</v>
      </c>
      <c r="L188" s="65">
        <v>61061.95</v>
      </c>
      <c r="M188" s="65">
        <v>7938.05</v>
      </c>
      <c r="N188" s="65">
        <v>69000</v>
      </c>
      <c r="O188" s="66">
        <v>49818.68</v>
      </c>
      <c r="P188" s="65">
        <v>1024.8800000000001</v>
      </c>
      <c r="Q188" s="65">
        <v>1463.94</v>
      </c>
      <c r="R188" s="65">
        <v>52307.5</v>
      </c>
      <c r="S188" s="67"/>
      <c r="T188" s="67"/>
      <c r="U188" s="67"/>
    </row>
    <row r="189" spans="1:21" ht="14.4" customHeight="1">
      <c r="A189" s="2">
        <f>ROW()-4</f>
        <v>185</v>
      </c>
      <c r="B189" s="23">
        <f>R189/L189</f>
        <v>0.81760005505752364</v>
      </c>
      <c r="C189" s="2">
        <f>IF(ISBLANK($B189),-1,IFERROR(IF($B189&gt;0.9,2,IF($B189&lt;0.3,1,0)),-1))</f>
        <v>0</v>
      </c>
      <c r="D189" s="38"/>
      <c r="F189" s="62" t="s">
        <v>178</v>
      </c>
      <c r="G189" s="17" t="s">
        <v>71</v>
      </c>
      <c r="H189" s="25"/>
      <c r="I189" s="63" t="s">
        <v>25</v>
      </c>
      <c r="J189" s="64" t="s">
        <v>26</v>
      </c>
      <c r="K189" s="10">
        <v>1</v>
      </c>
      <c r="L189" s="65">
        <v>57539.82</v>
      </c>
      <c r="M189" s="65">
        <v>7480.18</v>
      </c>
      <c r="N189" s="65">
        <v>65020</v>
      </c>
      <c r="O189" s="66">
        <v>44783.64</v>
      </c>
      <c r="P189" s="65">
        <v>1053.22</v>
      </c>
      <c r="Q189" s="65">
        <v>1207.7</v>
      </c>
      <c r="R189" s="65">
        <v>47044.56</v>
      </c>
      <c r="S189" s="67"/>
      <c r="T189" s="67"/>
      <c r="U189" s="67"/>
    </row>
    <row r="190" spans="1:21" ht="14.4" customHeight="1">
      <c r="A190" s="2">
        <f>ROW()-4</f>
        <v>186</v>
      </c>
      <c r="B190" s="23">
        <f>R190/L190</f>
        <v>0.70018020326288144</v>
      </c>
      <c r="C190" s="2">
        <f>IF(ISBLANK($B190),-1,IFERROR(IF($B190&gt;0.9,2,IF($B190&lt;0.3,1,0)),-1))</f>
        <v>0</v>
      </c>
      <c r="D190" s="38"/>
      <c r="F190" s="62" t="s">
        <v>179</v>
      </c>
      <c r="G190" s="17" t="s">
        <v>180</v>
      </c>
      <c r="H190" s="25"/>
      <c r="I190" s="63" t="s">
        <v>31</v>
      </c>
      <c r="J190" s="64" t="s">
        <v>32</v>
      </c>
      <c r="K190" s="10">
        <v>1</v>
      </c>
      <c r="L190" s="65">
        <v>157522.12</v>
      </c>
      <c r="M190" s="65">
        <v>20477.88</v>
      </c>
      <c r="N190" s="65">
        <v>178000</v>
      </c>
      <c r="O190" s="66">
        <v>106626.75</v>
      </c>
      <c r="P190" s="65">
        <v>1342.06</v>
      </c>
      <c r="Q190" s="65">
        <v>2325.06</v>
      </c>
      <c r="R190" s="65">
        <v>110293.87</v>
      </c>
      <c r="S190" s="67"/>
      <c r="T190" s="67"/>
      <c r="U190" s="67"/>
    </row>
    <row r="191" spans="1:21" ht="14.4" customHeight="1">
      <c r="A191" s="2">
        <f>ROW()-4</f>
        <v>187</v>
      </c>
      <c r="B191" s="23">
        <f>R191/L191</f>
        <v>0.88866657946262684</v>
      </c>
      <c r="C191" s="2">
        <f>IF(ISBLANK($B191),-1,IFERROR(IF($B191&gt;0.9,2,IF($B191&lt;0.3,1,0)),-1))</f>
        <v>0</v>
      </c>
      <c r="D191" s="38"/>
      <c r="F191" s="62" t="s">
        <v>181</v>
      </c>
      <c r="G191" s="17" t="s">
        <v>182</v>
      </c>
      <c r="H191" s="25"/>
      <c r="I191" s="63" t="s">
        <v>25</v>
      </c>
      <c r="J191" s="64" t="s">
        <v>26</v>
      </c>
      <c r="K191" s="10">
        <v>1</v>
      </c>
      <c r="L191" s="65">
        <v>87610.62</v>
      </c>
      <c r="M191" s="65">
        <v>11389.38</v>
      </c>
      <c r="N191" s="65">
        <v>99000</v>
      </c>
      <c r="O191" s="66">
        <v>75203.360000000001</v>
      </c>
      <c r="P191" s="65">
        <v>1050.6400000000001</v>
      </c>
      <c r="Q191" s="65">
        <v>1602.63</v>
      </c>
      <c r="R191" s="65">
        <v>77856.63</v>
      </c>
      <c r="S191" s="67"/>
      <c r="T191" s="67"/>
      <c r="U191" s="67"/>
    </row>
    <row r="192" spans="1:21" ht="14.4" customHeight="1">
      <c r="A192" s="2">
        <f>ROW()-4</f>
        <v>188</v>
      </c>
      <c r="B192" s="23">
        <f>R192/L192</f>
        <v>0.87293367944546885</v>
      </c>
      <c r="C192" s="2">
        <f>IF(ISBLANK($B192),-1,IFERROR(IF($B192&gt;0.9,2,IF($B192&lt;0.3,1,0)),-1))</f>
        <v>0</v>
      </c>
      <c r="D192" s="38"/>
      <c r="F192" s="62" t="s">
        <v>183</v>
      </c>
      <c r="G192" s="17" t="s">
        <v>182</v>
      </c>
      <c r="H192" s="25"/>
      <c r="I192" s="63" t="s">
        <v>31</v>
      </c>
      <c r="J192" s="64" t="s">
        <v>32</v>
      </c>
      <c r="K192" s="10">
        <v>1</v>
      </c>
      <c r="L192" s="65">
        <v>82300.88</v>
      </c>
      <c r="M192" s="65">
        <v>10699.12</v>
      </c>
      <c r="N192" s="65">
        <v>93000</v>
      </c>
      <c r="O192" s="66">
        <v>69472.31</v>
      </c>
      <c r="P192" s="65">
        <v>1167.97</v>
      </c>
      <c r="Q192" s="65">
        <v>1202.93</v>
      </c>
      <c r="R192" s="65">
        <v>71843.210000000006</v>
      </c>
      <c r="S192" s="67"/>
      <c r="T192" s="67"/>
      <c r="U192" s="67"/>
    </row>
    <row r="193" spans="1:21" ht="14.4" customHeight="1">
      <c r="A193" s="2">
        <f>ROW()-4</f>
        <v>189</v>
      </c>
      <c r="B193" s="23">
        <f>R193/L193</f>
        <v>0.87293357337934019</v>
      </c>
      <c r="C193" s="2">
        <f>IF(ISBLANK($B193),-1,IFERROR(IF($B193&gt;0.9,2,IF($B193&lt;0.3,1,0)),-1))</f>
        <v>0</v>
      </c>
      <c r="D193" s="38"/>
      <c r="F193" s="62" t="s">
        <v>183</v>
      </c>
      <c r="G193" s="17" t="s">
        <v>182</v>
      </c>
      <c r="H193" s="25"/>
      <c r="I193" s="63" t="s">
        <v>31</v>
      </c>
      <c r="J193" s="64" t="s">
        <v>32</v>
      </c>
      <c r="K193" s="10">
        <v>1</v>
      </c>
      <c r="L193" s="65">
        <v>82300.89</v>
      </c>
      <c r="M193" s="65">
        <v>10699.11</v>
      </c>
      <c r="N193" s="65">
        <v>93000</v>
      </c>
      <c r="O193" s="66">
        <v>69472.31</v>
      </c>
      <c r="P193" s="65">
        <v>1167.97</v>
      </c>
      <c r="Q193" s="65">
        <v>1202.93</v>
      </c>
      <c r="R193" s="65">
        <v>71843.210000000006</v>
      </c>
      <c r="S193" s="67"/>
      <c r="T193" s="67"/>
      <c r="U193" s="67"/>
    </row>
    <row r="194" spans="1:21" ht="14.4" customHeight="1">
      <c r="A194" s="2">
        <f>ROW()-4</f>
        <v>190</v>
      </c>
      <c r="B194" s="23">
        <f>R194/L194</f>
        <v>0.68102631623552634</v>
      </c>
      <c r="C194" s="2">
        <f>IF(ISBLANK($B194),-1,IFERROR(IF($B194&gt;0.9,2,IF($B194&lt;0.3,1,0)),-1))</f>
        <v>0</v>
      </c>
      <c r="D194" s="38"/>
      <c r="F194" s="62" t="s">
        <v>184</v>
      </c>
      <c r="G194" s="17" t="s">
        <v>185</v>
      </c>
      <c r="H194" s="25"/>
      <c r="I194" s="63" t="s">
        <v>25</v>
      </c>
      <c r="J194" s="64" t="s">
        <v>26</v>
      </c>
      <c r="K194" s="10">
        <v>1</v>
      </c>
      <c r="L194" s="65">
        <v>47787.61</v>
      </c>
      <c r="M194" s="65">
        <v>6212.39</v>
      </c>
      <c r="N194" s="65">
        <v>54000</v>
      </c>
      <c r="O194" s="66">
        <v>30246.26</v>
      </c>
      <c r="P194" s="65">
        <v>1223.28</v>
      </c>
      <c r="Q194" s="65">
        <v>1075.08</v>
      </c>
      <c r="R194" s="65">
        <v>32544.62</v>
      </c>
      <c r="S194" s="67"/>
      <c r="T194" s="67"/>
      <c r="U194" s="67"/>
    </row>
    <row r="195" spans="1:21" ht="14.4" customHeight="1">
      <c r="A195" s="2">
        <f>ROW()-4</f>
        <v>191</v>
      </c>
      <c r="B195" s="23">
        <f>R195/L195</f>
        <v>0.65141497710352325</v>
      </c>
      <c r="C195" s="2">
        <f>IF(ISBLANK($B195),-1,IFERROR(IF($B195&gt;0.9,2,IF($B195&lt;0.3,1,0)),-1))</f>
        <v>0</v>
      </c>
      <c r="D195" s="38"/>
      <c r="F195" s="62" t="s">
        <v>186</v>
      </c>
      <c r="G195" s="17" t="s">
        <v>187</v>
      </c>
      <c r="H195" s="25"/>
      <c r="I195" s="63" t="s">
        <v>31</v>
      </c>
      <c r="J195" s="64" t="s">
        <v>32</v>
      </c>
      <c r="K195" s="10">
        <v>1</v>
      </c>
      <c r="L195" s="65">
        <v>168141.59</v>
      </c>
      <c r="M195" s="65">
        <v>21858.41</v>
      </c>
      <c r="N195" s="65">
        <v>190000</v>
      </c>
      <c r="O195" s="66">
        <v>105516.68</v>
      </c>
      <c r="P195" s="65">
        <v>1757.09</v>
      </c>
      <c r="Q195" s="65">
        <v>2256.1799999999998</v>
      </c>
      <c r="R195" s="65">
        <v>109529.95</v>
      </c>
      <c r="S195" s="67"/>
      <c r="T195" s="67"/>
      <c r="U195" s="67"/>
    </row>
    <row r="196" spans="1:21" ht="14.4" customHeight="1">
      <c r="A196" s="2">
        <f>ROW()-4</f>
        <v>192</v>
      </c>
      <c r="B196" s="23">
        <f>R196/L196</f>
        <v>0.80308527054238144</v>
      </c>
      <c r="C196" s="2">
        <f>IF(ISBLANK($B196),-1,IFERROR(IF($B196&gt;0.9,2,IF($B196&lt;0.3,1,0)),-1))</f>
        <v>0</v>
      </c>
      <c r="D196" s="38"/>
      <c r="F196" s="62" t="s">
        <v>188</v>
      </c>
      <c r="G196" s="17" t="s">
        <v>189</v>
      </c>
      <c r="H196" s="25"/>
      <c r="I196" s="63" t="s">
        <v>25</v>
      </c>
      <c r="J196" s="64" t="s">
        <v>26</v>
      </c>
      <c r="K196" s="10">
        <v>1</v>
      </c>
      <c r="L196" s="65">
        <v>53982.3</v>
      </c>
      <c r="M196" s="65">
        <v>7017.7</v>
      </c>
      <c r="N196" s="65">
        <v>61000</v>
      </c>
      <c r="O196" s="66">
        <v>41253.56</v>
      </c>
      <c r="P196" s="65">
        <v>907.35</v>
      </c>
      <c r="Q196" s="65">
        <v>1191.48</v>
      </c>
      <c r="R196" s="65">
        <v>43352.39</v>
      </c>
      <c r="S196" s="67"/>
      <c r="T196" s="67"/>
      <c r="U196" s="67"/>
    </row>
    <row r="197" spans="1:21" ht="14.4" customHeight="1">
      <c r="A197" s="2">
        <f>ROW()-4</f>
        <v>193</v>
      </c>
      <c r="B197" s="23">
        <f>R197/L197</f>
        <v>0.78240002531199804</v>
      </c>
      <c r="C197" s="2">
        <f>IF(ISBLANK($B197),-1,IFERROR(IF($B197&gt;0.9,2,IF($B197&lt;0.3,1,0)),-1))</f>
        <v>0</v>
      </c>
      <c r="D197" s="38"/>
      <c r="F197" s="62" t="s">
        <v>190</v>
      </c>
      <c r="G197" s="17" t="s">
        <v>191</v>
      </c>
      <c r="H197" s="25"/>
      <c r="I197" s="63" t="s">
        <v>25</v>
      </c>
      <c r="J197" s="64" t="s">
        <v>26</v>
      </c>
      <c r="K197" s="10">
        <v>1</v>
      </c>
      <c r="L197" s="65">
        <v>48672.57</v>
      </c>
      <c r="M197" s="65">
        <v>6327.43</v>
      </c>
      <c r="N197" s="65">
        <v>55000</v>
      </c>
      <c r="O197" s="66">
        <v>35845.81</v>
      </c>
      <c r="P197" s="65">
        <v>1234.72</v>
      </c>
      <c r="Q197" s="65">
        <v>1000.89</v>
      </c>
      <c r="R197" s="65">
        <v>38081.42</v>
      </c>
      <c r="S197" s="67"/>
      <c r="T197" s="67"/>
      <c r="U197" s="67"/>
    </row>
    <row r="198" spans="1:21" ht="14.4" customHeight="1">
      <c r="A198" s="2">
        <f>ROW()-4</f>
        <v>194</v>
      </c>
      <c r="B198" s="23">
        <f>R198/L198</f>
        <v>0.67999059018141494</v>
      </c>
      <c r="C198" s="2">
        <f>IF(ISBLANK($B198),-1,IFERROR(IF($B198&gt;0.9,2,IF($B198&lt;0.3,1,0)),-1))</f>
        <v>0</v>
      </c>
      <c r="D198" s="38"/>
      <c r="F198" s="62" t="s">
        <v>192</v>
      </c>
      <c r="G198" s="17" t="s">
        <v>193</v>
      </c>
      <c r="H198" s="25"/>
      <c r="I198" s="63" t="s">
        <v>25</v>
      </c>
      <c r="J198" s="64" t="s">
        <v>26</v>
      </c>
      <c r="K198" s="10">
        <v>1</v>
      </c>
      <c r="L198" s="65">
        <v>68141.59</v>
      </c>
      <c r="M198" s="65">
        <v>8858.41</v>
      </c>
      <c r="N198" s="65">
        <v>77000</v>
      </c>
      <c r="O198" s="66">
        <v>43949.41</v>
      </c>
      <c r="P198" s="65">
        <v>1011.36</v>
      </c>
      <c r="Q198" s="65">
        <v>1374.87</v>
      </c>
      <c r="R198" s="65">
        <v>46335.64</v>
      </c>
      <c r="S198" s="67"/>
      <c r="T198" s="67"/>
      <c r="U198" s="67"/>
    </row>
    <row r="199" spans="1:21" ht="14.4" customHeight="1">
      <c r="A199" s="2">
        <f>ROW()-4</f>
        <v>195</v>
      </c>
      <c r="B199" s="23">
        <f>R199/L199</f>
        <v>0.76735163099873738</v>
      </c>
      <c r="C199" s="2">
        <f>IF(ISBLANK($B199),-1,IFERROR(IF($B199&gt;0.9,2,IF($B199&lt;0.3,1,0)),-1))</f>
        <v>0</v>
      </c>
      <c r="D199" s="38"/>
      <c r="F199" s="62" t="s">
        <v>194</v>
      </c>
      <c r="G199" s="17" t="s">
        <v>195</v>
      </c>
      <c r="H199" s="25"/>
      <c r="I199" s="63" t="s">
        <v>31</v>
      </c>
      <c r="J199" s="64" t="s">
        <v>32</v>
      </c>
      <c r="K199" s="10">
        <v>1</v>
      </c>
      <c r="L199" s="65">
        <v>83185.84</v>
      </c>
      <c r="M199" s="65">
        <v>10814.16</v>
      </c>
      <c r="N199" s="65">
        <v>94000</v>
      </c>
      <c r="O199" s="66">
        <v>60833.79</v>
      </c>
      <c r="P199" s="65">
        <v>1387.21</v>
      </c>
      <c r="Q199" s="65">
        <v>1611.79</v>
      </c>
      <c r="R199" s="65">
        <v>63832.79</v>
      </c>
      <c r="S199" s="67"/>
      <c r="T199" s="67"/>
      <c r="U199" s="67"/>
    </row>
    <row r="200" spans="1:21" ht="14.4" customHeight="1">
      <c r="A200" s="2">
        <f>ROW()-4</f>
        <v>196</v>
      </c>
      <c r="B200" s="23">
        <f>R200/L200</f>
        <v>0.82174731347126739</v>
      </c>
      <c r="C200" s="2">
        <f>IF(ISBLANK($B200),-1,IFERROR(IF($B200&gt;0.9,2,IF($B200&lt;0.3,1,0)),-1))</f>
        <v>0</v>
      </c>
      <c r="D200" s="38"/>
      <c r="F200" s="62" t="s">
        <v>196</v>
      </c>
      <c r="G200" s="17" t="s">
        <v>195</v>
      </c>
      <c r="H200" s="25"/>
      <c r="I200" s="63" t="s">
        <v>25</v>
      </c>
      <c r="J200" s="64" t="s">
        <v>26</v>
      </c>
      <c r="K200" s="10">
        <v>1</v>
      </c>
      <c r="L200" s="65">
        <v>53982.3</v>
      </c>
      <c r="M200" s="65">
        <v>7017.7</v>
      </c>
      <c r="N200" s="65">
        <v>61000</v>
      </c>
      <c r="O200" s="66">
        <v>42269.31</v>
      </c>
      <c r="P200" s="65">
        <v>920.51</v>
      </c>
      <c r="Q200" s="65">
        <v>1169.99</v>
      </c>
      <c r="R200" s="65">
        <v>44359.81</v>
      </c>
      <c r="S200" s="67"/>
      <c r="T200" s="67"/>
      <c r="U200" s="67"/>
    </row>
    <row r="201" spans="1:21" ht="14.4" customHeight="1">
      <c r="A201" s="2">
        <f>ROW()-4</f>
        <v>197</v>
      </c>
      <c r="B201" s="23">
        <f>R201/L201</f>
        <v>0.85590482000126256</v>
      </c>
      <c r="C201" s="2">
        <f>IF(ISBLANK($B201),-1,IFERROR(IF($B201&gt;0.9,2,IF($B201&lt;0.3,1,0)),-1))</f>
        <v>0</v>
      </c>
      <c r="D201" s="38"/>
      <c r="F201" s="62" t="s">
        <v>197</v>
      </c>
      <c r="G201" s="17" t="s">
        <v>198</v>
      </c>
      <c r="H201" s="25"/>
      <c r="I201" s="63" t="s">
        <v>25</v>
      </c>
      <c r="J201" s="64" t="s">
        <v>26</v>
      </c>
      <c r="K201" s="10">
        <v>1</v>
      </c>
      <c r="L201" s="65">
        <v>53539.82</v>
      </c>
      <c r="M201" s="65">
        <v>6960.18</v>
      </c>
      <c r="N201" s="65">
        <v>60500</v>
      </c>
      <c r="O201" s="66">
        <v>43241.57</v>
      </c>
      <c r="P201" s="65">
        <v>1420.37</v>
      </c>
      <c r="Q201" s="65">
        <v>1163.05</v>
      </c>
      <c r="R201" s="65">
        <v>45824.99</v>
      </c>
      <c r="S201" s="67"/>
      <c r="T201" s="67"/>
      <c r="U201" s="67"/>
    </row>
    <row r="202" spans="1:21" ht="14.4" customHeight="1">
      <c r="A202" s="2">
        <f>ROW()-4</f>
        <v>198</v>
      </c>
      <c r="B202" s="23">
        <f>R202/L202</f>
        <v>0.85590482000126256</v>
      </c>
      <c r="C202" s="2">
        <f>IF(ISBLANK($B202),-1,IFERROR(IF($B202&gt;0.9,2,IF($B202&lt;0.3,1,0)),-1))</f>
        <v>0</v>
      </c>
      <c r="D202" s="38"/>
      <c r="F202" s="62" t="s">
        <v>197</v>
      </c>
      <c r="G202" s="17" t="s">
        <v>198</v>
      </c>
      <c r="H202" s="25"/>
      <c r="I202" s="63" t="s">
        <v>25</v>
      </c>
      <c r="J202" s="64" t="s">
        <v>26</v>
      </c>
      <c r="K202" s="10">
        <v>1</v>
      </c>
      <c r="L202" s="65">
        <v>53539.82</v>
      </c>
      <c r="M202" s="65">
        <v>6960.18</v>
      </c>
      <c r="N202" s="65">
        <v>60500</v>
      </c>
      <c r="O202" s="66">
        <v>43241.57</v>
      </c>
      <c r="P202" s="65">
        <v>1420.37</v>
      </c>
      <c r="Q202" s="65">
        <v>1163.05</v>
      </c>
      <c r="R202" s="65">
        <v>45824.99</v>
      </c>
      <c r="S202" s="67"/>
      <c r="T202" s="67"/>
      <c r="U202" s="67"/>
    </row>
    <row r="203" spans="1:21" ht="14.4" customHeight="1">
      <c r="A203" s="2">
        <f>ROW()-4</f>
        <v>199</v>
      </c>
      <c r="B203" s="23">
        <f>R203/L203</f>
        <v>0.8559046601380691</v>
      </c>
      <c r="C203" s="2">
        <f>IF(ISBLANK($B203),-1,IFERROR(IF($B203&gt;0.9,2,IF($B203&lt;0.3,1,0)),-1))</f>
        <v>0</v>
      </c>
      <c r="D203" s="38"/>
      <c r="F203" s="62" t="s">
        <v>197</v>
      </c>
      <c r="G203" s="17" t="s">
        <v>198</v>
      </c>
      <c r="H203" s="25"/>
      <c r="I203" s="63" t="s">
        <v>25</v>
      </c>
      <c r="J203" s="64" t="s">
        <v>26</v>
      </c>
      <c r="K203" s="10">
        <v>1</v>
      </c>
      <c r="L203" s="65">
        <v>53539.83</v>
      </c>
      <c r="M203" s="65">
        <v>6960.17</v>
      </c>
      <c r="N203" s="65">
        <v>60500</v>
      </c>
      <c r="O203" s="66">
        <v>43241.57</v>
      </c>
      <c r="P203" s="65">
        <v>1420.37</v>
      </c>
      <c r="Q203" s="65">
        <v>1163.05</v>
      </c>
      <c r="R203" s="65">
        <v>45824.99</v>
      </c>
      <c r="S203" s="67"/>
      <c r="T203" s="67"/>
      <c r="U203" s="67"/>
    </row>
    <row r="204" spans="1:21" ht="14.4" customHeight="1">
      <c r="A204" s="2">
        <f>ROW()-4</f>
        <v>200</v>
      </c>
      <c r="B204" s="23">
        <f>R204/L204</f>
        <v>0.85078471388965793</v>
      </c>
      <c r="C204" s="2">
        <f>IF(ISBLANK($B204),-1,IFERROR(IF($B204&gt;0.9,2,IF($B204&lt;0.3,1,0)),-1))</f>
        <v>0</v>
      </c>
      <c r="D204" s="38"/>
      <c r="F204" s="62" t="s">
        <v>199</v>
      </c>
      <c r="G204" s="17" t="s">
        <v>200</v>
      </c>
      <c r="H204" s="25"/>
      <c r="I204" s="63" t="s">
        <v>25</v>
      </c>
      <c r="J204" s="64" t="s">
        <v>26</v>
      </c>
      <c r="K204" s="10">
        <v>1</v>
      </c>
      <c r="L204" s="65">
        <v>52654.86</v>
      </c>
      <c r="M204" s="65">
        <v>6845.14</v>
      </c>
      <c r="N204" s="65">
        <v>59500</v>
      </c>
      <c r="O204" s="66">
        <v>42395.06</v>
      </c>
      <c r="P204" s="65">
        <v>1445.6</v>
      </c>
      <c r="Q204" s="65">
        <v>957.29</v>
      </c>
      <c r="R204" s="65">
        <v>44797.95</v>
      </c>
      <c r="S204" s="67"/>
      <c r="T204" s="67"/>
      <c r="U204" s="67"/>
    </row>
    <row r="205" spans="1:21" ht="14.4" customHeight="1">
      <c r="A205" s="2">
        <f>ROW()-4</f>
        <v>201</v>
      </c>
      <c r="B205" s="23">
        <f>R205/L205</f>
        <v>0.85078455231206529</v>
      </c>
      <c r="C205" s="2">
        <f>IF(ISBLANK($B205),-1,IFERROR(IF($B205&gt;0.9,2,IF($B205&lt;0.3,1,0)),-1))</f>
        <v>0</v>
      </c>
      <c r="D205" s="38"/>
      <c r="F205" s="62" t="s">
        <v>199</v>
      </c>
      <c r="G205" s="17" t="s">
        <v>200</v>
      </c>
      <c r="H205" s="25"/>
      <c r="I205" s="63" t="s">
        <v>25</v>
      </c>
      <c r="J205" s="64" t="s">
        <v>26</v>
      </c>
      <c r="K205" s="10">
        <v>1</v>
      </c>
      <c r="L205" s="65">
        <v>52654.87</v>
      </c>
      <c r="M205" s="65">
        <v>6845.13</v>
      </c>
      <c r="N205" s="65">
        <v>59500</v>
      </c>
      <c r="O205" s="66">
        <v>42395.06</v>
      </c>
      <c r="P205" s="65">
        <v>1445.6</v>
      </c>
      <c r="Q205" s="65">
        <v>957.29</v>
      </c>
      <c r="R205" s="65">
        <v>44797.95</v>
      </c>
      <c r="S205" s="67"/>
      <c r="T205" s="67"/>
      <c r="U205" s="67"/>
    </row>
    <row r="206" spans="1:21" ht="14.4" customHeight="1">
      <c r="A206" s="2">
        <f>ROW()-4</f>
        <v>202</v>
      </c>
      <c r="B206" s="23">
        <f>R206/L206</f>
        <v>0.85078455231206529</v>
      </c>
      <c r="C206" s="2">
        <f>IF(ISBLANK($B206),-1,IFERROR(IF($B206&gt;0.9,2,IF($B206&lt;0.3,1,0)),-1))</f>
        <v>0</v>
      </c>
      <c r="D206" s="38"/>
      <c r="F206" s="62" t="s">
        <v>199</v>
      </c>
      <c r="G206" s="17" t="s">
        <v>200</v>
      </c>
      <c r="H206" s="25"/>
      <c r="I206" s="63" t="s">
        <v>25</v>
      </c>
      <c r="J206" s="64" t="s">
        <v>26</v>
      </c>
      <c r="K206" s="10">
        <v>1</v>
      </c>
      <c r="L206" s="65">
        <v>52654.87</v>
      </c>
      <c r="M206" s="65">
        <v>6845.13</v>
      </c>
      <c r="N206" s="65">
        <v>59500</v>
      </c>
      <c r="O206" s="66">
        <v>42395.06</v>
      </c>
      <c r="P206" s="65">
        <v>1445.6</v>
      </c>
      <c r="Q206" s="65">
        <v>957.29</v>
      </c>
      <c r="R206" s="65">
        <v>44797.95</v>
      </c>
      <c r="S206" s="67"/>
      <c r="T206" s="67"/>
      <c r="U206" s="67"/>
    </row>
    <row r="207" spans="1:21" ht="14.4" customHeight="1">
      <c r="A207" s="2">
        <f>ROW()-4</f>
        <v>203</v>
      </c>
      <c r="B207" s="23">
        <f>R207/L207</f>
        <v>0.85078455231206529</v>
      </c>
      <c r="C207" s="2">
        <f>IF(ISBLANK($B207),-1,IFERROR(IF($B207&gt;0.9,2,IF($B207&lt;0.3,1,0)),-1))</f>
        <v>0</v>
      </c>
      <c r="D207" s="38"/>
      <c r="F207" s="62" t="s">
        <v>199</v>
      </c>
      <c r="G207" s="17" t="s">
        <v>200</v>
      </c>
      <c r="H207" s="25"/>
      <c r="I207" s="63" t="s">
        <v>25</v>
      </c>
      <c r="J207" s="64" t="s">
        <v>26</v>
      </c>
      <c r="K207" s="10">
        <v>1</v>
      </c>
      <c r="L207" s="65">
        <v>52654.87</v>
      </c>
      <c r="M207" s="65">
        <v>6845.13</v>
      </c>
      <c r="N207" s="65">
        <v>59500</v>
      </c>
      <c r="O207" s="66">
        <v>42395.06</v>
      </c>
      <c r="P207" s="65">
        <v>1445.6</v>
      </c>
      <c r="Q207" s="65">
        <v>957.29</v>
      </c>
      <c r="R207" s="65">
        <v>44797.95</v>
      </c>
      <c r="S207" s="67"/>
      <c r="T207" s="67"/>
      <c r="U207" s="67"/>
    </row>
    <row r="208" spans="1:21" ht="14.4" customHeight="1">
      <c r="A208" s="2">
        <f>ROW()-4</f>
        <v>204</v>
      </c>
      <c r="B208" s="23">
        <f>R208/L208</f>
        <v>0.87775332684737672</v>
      </c>
      <c r="C208" s="2">
        <f>IF(ISBLANK($B208),-1,IFERROR(IF($B208&gt;0.9,2,IF($B208&lt;0.3,1,0)),-1))</f>
        <v>0</v>
      </c>
      <c r="D208" s="38"/>
      <c r="F208" s="62" t="s">
        <v>199</v>
      </c>
      <c r="G208" s="17" t="s">
        <v>200</v>
      </c>
      <c r="H208" s="25"/>
      <c r="I208" s="63" t="s">
        <v>25</v>
      </c>
      <c r="J208" s="64" t="s">
        <v>26</v>
      </c>
      <c r="K208" s="10">
        <v>1</v>
      </c>
      <c r="L208" s="65">
        <v>54867.26</v>
      </c>
      <c r="M208" s="65">
        <v>7132.74</v>
      </c>
      <c r="N208" s="65">
        <v>62000</v>
      </c>
      <c r="O208" s="66">
        <v>45662.92</v>
      </c>
      <c r="P208" s="65">
        <v>1445.6</v>
      </c>
      <c r="Q208" s="65">
        <v>1051.4000000000001</v>
      </c>
      <c r="R208" s="65">
        <v>48159.92</v>
      </c>
      <c r="S208" s="67"/>
      <c r="T208" s="67"/>
      <c r="U208" s="67"/>
    </row>
    <row r="209" spans="1:21" ht="14.4" customHeight="1">
      <c r="A209" s="2">
        <f>ROW()-4</f>
        <v>205</v>
      </c>
      <c r="B209" s="23">
        <f>R209/L209</f>
        <v>0.88721935865860746</v>
      </c>
      <c r="C209" s="2">
        <f>IF(ISBLANK($B209),-1,IFERROR(IF($B209&gt;0.9,2,IF($B209&lt;0.3,1,0)),-1))</f>
        <v>0</v>
      </c>
      <c r="D209" s="38"/>
      <c r="F209" s="62" t="s">
        <v>199</v>
      </c>
      <c r="G209" s="17" t="s">
        <v>200</v>
      </c>
      <c r="H209" s="25"/>
      <c r="I209" s="63" t="s">
        <v>25</v>
      </c>
      <c r="J209" s="64" t="s">
        <v>26</v>
      </c>
      <c r="K209" s="10">
        <v>1</v>
      </c>
      <c r="L209" s="65">
        <v>55752.21</v>
      </c>
      <c r="M209" s="65">
        <v>7247.79</v>
      </c>
      <c r="N209" s="65">
        <v>63000</v>
      </c>
      <c r="O209" s="66">
        <v>46954.92</v>
      </c>
      <c r="P209" s="65">
        <v>1458.35</v>
      </c>
      <c r="Q209" s="65">
        <v>1051.17</v>
      </c>
      <c r="R209" s="65">
        <v>49464.44</v>
      </c>
      <c r="S209" s="67"/>
      <c r="T209" s="67"/>
      <c r="U209" s="67"/>
    </row>
    <row r="210" spans="1:21" ht="14.4" customHeight="1">
      <c r="A210" s="2">
        <f>ROW()-4</f>
        <v>206</v>
      </c>
      <c r="B210" s="23">
        <f>R210/L210</f>
        <v>0.79018802256609799</v>
      </c>
      <c r="C210" s="2">
        <f>IF(ISBLANK($B210),-1,IFERROR(IF($B210&gt;0.9,2,IF($B210&lt;0.3,1,0)),-1))</f>
        <v>0</v>
      </c>
      <c r="D210" s="38"/>
      <c r="F210" s="62" t="s">
        <v>201</v>
      </c>
      <c r="G210" s="17" t="s">
        <v>202</v>
      </c>
      <c r="H210" s="25"/>
      <c r="I210" s="63" t="s">
        <v>25</v>
      </c>
      <c r="J210" s="64" t="s">
        <v>26</v>
      </c>
      <c r="K210" s="10">
        <v>1</v>
      </c>
      <c r="L210" s="65">
        <v>53097.35</v>
      </c>
      <c r="M210" s="65">
        <v>6902.65</v>
      </c>
      <c r="N210" s="65">
        <v>60000</v>
      </c>
      <c r="O210" s="66">
        <v>39736.160000000003</v>
      </c>
      <c r="P210" s="65">
        <v>1082.74</v>
      </c>
      <c r="Q210" s="65">
        <v>1137.99</v>
      </c>
      <c r="R210" s="65">
        <v>41956.89</v>
      </c>
      <c r="S210" s="67"/>
      <c r="T210" s="67"/>
      <c r="U210" s="67"/>
    </row>
    <row r="211" spans="1:21" ht="14.4" customHeight="1">
      <c r="A211" s="2">
        <f>ROW()-4</f>
        <v>207</v>
      </c>
      <c r="B211" s="23">
        <f>R211/L211</f>
        <v>0.79214964918682329</v>
      </c>
      <c r="C211" s="2">
        <f>IF(ISBLANK($B211),-1,IFERROR(IF($B211&gt;0.9,2,IF($B211&lt;0.3,1,0)),-1))</f>
        <v>0</v>
      </c>
      <c r="D211" s="10">
        <v>13</v>
      </c>
      <c r="F211" s="62" t="s">
        <v>203</v>
      </c>
      <c r="G211" s="17" t="s">
        <v>204</v>
      </c>
      <c r="H211" s="25"/>
      <c r="I211" s="63" t="s">
        <v>25</v>
      </c>
      <c r="J211" s="64" t="s">
        <v>26</v>
      </c>
      <c r="K211" s="10">
        <v>1</v>
      </c>
      <c r="L211" s="65">
        <v>60017.7</v>
      </c>
      <c r="M211" s="65">
        <v>7802.3</v>
      </c>
      <c r="N211" s="65">
        <v>67820</v>
      </c>
      <c r="O211" s="66">
        <v>45372.7</v>
      </c>
      <c r="P211" s="65">
        <v>849.76</v>
      </c>
      <c r="Q211" s="65">
        <v>1320.54</v>
      </c>
      <c r="R211" s="65">
        <v>47543</v>
      </c>
      <c r="S211" s="67"/>
      <c r="T211" s="67"/>
      <c r="U211" s="67"/>
    </row>
    <row r="212" spans="1:21" ht="14.4" customHeight="1">
      <c r="A212" s="2">
        <f>ROW()-4</f>
        <v>208</v>
      </c>
      <c r="B212" s="23">
        <f>R212/L212</f>
        <v>0.78882679609515194</v>
      </c>
      <c r="C212" s="2">
        <f>IF(ISBLANK($B212),-1,IFERROR(IF($B212&gt;0.9,2,IF($B212&lt;0.3,1,0)),-1))</f>
        <v>0</v>
      </c>
      <c r="D212" s="10">
        <v>1</v>
      </c>
      <c r="F212" s="71" t="s">
        <v>203</v>
      </c>
      <c r="G212" s="72" t="s">
        <v>204</v>
      </c>
      <c r="H212" s="25"/>
      <c r="I212" s="73" t="s">
        <v>25</v>
      </c>
      <c r="J212" s="74" t="s">
        <v>26</v>
      </c>
      <c r="K212" s="75">
        <v>1</v>
      </c>
      <c r="L212" s="76">
        <v>60017.7</v>
      </c>
      <c r="M212" s="65">
        <v>7802.3</v>
      </c>
      <c r="N212" s="65">
        <v>67820</v>
      </c>
      <c r="O212" s="66">
        <v>45182.46</v>
      </c>
      <c r="P212" s="65">
        <v>849.76</v>
      </c>
      <c r="Q212" s="65">
        <v>1311.35</v>
      </c>
      <c r="R212" s="65">
        <v>47343.57</v>
      </c>
      <c r="S212" s="67"/>
      <c r="T212" s="67"/>
      <c r="U212" s="67"/>
    </row>
    <row r="213" spans="1:21" ht="14.4" customHeight="1">
      <c r="A213" s="2">
        <f>ROW()-4</f>
        <v>209</v>
      </c>
      <c r="B213" s="23">
        <f>R213/L213</f>
        <v>0.81916118257162096</v>
      </c>
      <c r="C213" s="2">
        <f>IF(ISBLANK($B213),-1,IFERROR(IF($B213&gt;0.9,2,IF($B213&lt;0.3,1,0)),-1))</f>
        <v>0</v>
      </c>
      <c r="D213" s="10">
        <v>2</v>
      </c>
      <c r="F213" s="71" t="s">
        <v>205</v>
      </c>
      <c r="G213" s="72" t="s">
        <v>206</v>
      </c>
      <c r="H213" s="25"/>
      <c r="I213" s="73" t="s">
        <v>99</v>
      </c>
      <c r="J213" s="74" t="s">
        <v>100</v>
      </c>
      <c r="K213" s="75">
        <v>1</v>
      </c>
      <c r="L213" s="76">
        <v>97345.14</v>
      </c>
      <c r="M213" s="65">
        <v>12654.86</v>
      </c>
      <c r="N213" s="65">
        <v>110000</v>
      </c>
      <c r="O213" s="66">
        <v>76303.350000000006</v>
      </c>
      <c r="P213" s="65">
        <v>1473.79</v>
      </c>
      <c r="Q213" s="65">
        <v>1964.22</v>
      </c>
      <c r="R213" s="65">
        <v>79741.36</v>
      </c>
      <c r="S213" s="67"/>
      <c r="T213" s="67"/>
      <c r="U213" s="67"/>
    </row>
    <row r="214" spans="1:21" ht="14.4" customHeight="1">
      <c r="A214" s="2">
        <f>ROW()-4</f>
        <v>210</v>
      </c>
      <c r="B214" s="23">
        <f>R214/L214</f>
        <v>0.7983343421723198</v>
      </c>
      <c r="C214" s="2">
        <f>IF(ISBLANK($B214),-1,IFERROR(IF($B214&gt;0.9,2,IF($B214&lt;0.3,1,0)),-1))</f>
        <v>0</v>
      </c>
      <c r="D214" s="10">
        <v>3</v>
      </c>
      <c r="F214" s="71" t="s">
        <v>207</v>
      </c>
      <c r="G214" s="72" t="s">
        <v>208</v>
      </c>
      <c r="H214" s="25"/>
      <c r="I214" s="73" t="s">
        <v>25</v>
      </c>
      <c r="J214" s="74" t="s">
        <v>26</v>
      </c>
      <c r="K214" s="75">
        <v>1</v>
      </c>
      <c r="L214" s="76">
        <v>53097.34</v>
      </c>
      <c r="M214" s="65">
        <v>6902.66</v>
      </c>
      <c r="N214" s="65">
        <v>60000</v>
      </c>
      <c r="O214" s="66">
        <v>40215.35</v>
      </c>
      <c r="P214" s="65">
        <v>1107.31</v>
      </c>
      <c r="Q214" s="65">
        <v>1066.77</v>
      </c>
      <c r="R214" s="65">
        <v>42389.43</v>
      </c>
      <c r="S214" s="67"/>
      <c r="T214" s="67"/>
      <c r="U214" s="67"/>
    </row>
    <row r="215" spans="1:21" ht="14.4" customHeight="1">
      <c r="A215" s="2">
        <f>ROW()-4</f>
        <v>211</v>
      </c>
      <c r="B215" s="23">
        <f>R215/L215</f>
        <v>0.79608432362148462</v>
      </c>
      <c r="C215" s="2">
        <f>IF(ISBLANK($B215),-1,IFERROR(IF($B215&gt;0.9,2,IF($B215&lt;0.3,1,0)),-1))</f>
        <v>0</v>
      </c>
      <c r="D215" s="10">
        <v>4</v>
      </c>
      <c r="F215" s="71" t="s">
        <v>207</v>
      </c>
      <c r="G215" s="72" t="s">
        <v>208</v>
      </c>
      <c r="H215" s="25"/>
      <c r="I215" s="73" t="s">
        <v>25</v>
      </c>
      <c r="J215" s="74" t="s">
        <v>26</v>
      </c>
      <c r="K215" s="75">
        <v>1</v>
      </c>
      <c r="L215" s="76">
        <v>53097.34</v>
      </c>
      <c r="M215" s="65">
        <v>6902.66</v>
      </c>
      <c r="N215" s="65">
        <v>60000</v>
      </c>
      <c r="O215" s="66">
        <v>40095.879999999997</v>
      </c>
      <c r="P215" s="65">
        <v>1107.31</v>
      </c>
      <c r="Q215" s="65">
        <v>1066.77</v>
      </c>
      <c r="R215" s="65">
        <v>42269.96</v>
      </c>
      <c r="S215" s="67"/>
      <c r="T215" s="67"/>
      <c r="U215" s="67"/>
    </row>
    <row r="216" spans="1:21" ht="14.4" customHeight="1">
      <c r="A216" s="2">
        <f>ROW()-4</f>
        <v>212</v>
      </c>
      <c r="B216" s="23">
        <f>R216/L216</f>
        <v>0.79608417369228412</v>
      </c>
      <c r="C216" s="2">
        <f>IF(ISBLANK($B216),-1,IFERROR(IF($B216&gt;0.9,2,IF($B216&lt;0.3,1,0)),-1))</f>
        <v>0</v>
      </c>
      <c r="D216" s="10">
        <v>5</v>
      </c>
      <c r="F216" s="71" t="s">
        <v>207</v>
      </c>
      <c r="G216" s="72" t="s">
        <v>208</v>
      </c>
      <c r="H216" s="25"/>
      <c r="I216" s="73" t="s">
        <v>25</v>
      </c>
      <c r="J216" s="74" t="s">
        <v>26</v>
      </c>
      <c r="K216" s="75">
        <v>1</v>
      </c>
      <c r="L216" s="76">
        <v>53097.35</v>
      </c>
      <c r="M216" s="65">
        <v>6902.65</v>
      </c>
      <c r="N216" s="65">
        <v>60000</v>
      </c>
      <c r="O216" s="66">
        <v>40095.879999999997</v>
      </c>
      <c r="P216" s="65">
        <v>1107.31</v>
      </c>
      <c r="Q216" s="65">
        <v>1066.77</v>
      </c>
      <c r="R216" s="65">
        <v>42269.96</v>
      </c>
      <c r="S216" s="67"/>
      <c r="T216" s="67"/>
      <c r="U216" s="67"/>
    </row>
    <row r="217" spans="1:21" ht="14.4" customHeight="1">
      <c r="A217" s="2">
        <f>ROW()-4</f>
        <v>213</v>
      </c>
      <c r="B217" s="23">
        <f>R217/L217</f>
        <v>0.79608417369228412</v>
      </c>
      <c r="C217" s="2">
        <f>IF(ISBLANK($B217),-1,IFERROR(IF($B217&gt;0.9,2,IF($B217&lt;0.3,1,0)),-1))</f>
        <v>0</v>
      </c>
      <c r="D217" s="10">
        <v>6</v>
      </c>
      <c r="F217" s="71" t="s">
        <v>207</v>
      </c>
      <c r="G217" s="72" t="s">
        <v>208</v>
      </c>
      <c r="H217" s="25"/>
      <c r="I217" s="73" t="s">
        <v>25</v>
      </c>
      <c r="J217" s="74" t="s">
        <v>26</v>
      </c>
      <c r="K217" s="75">
        <v>1</v>
      </c>
      <c r="L217" s="76">
        <v>53097.35</v>
      </c>
      <c r="M217" s="65">
        <v>6902.65</v>
      </c>
      <c r="N217" s="65">
        <v>60000</v>
      </c>
      <c r="O217" s="66">
        <v>40095.879999999997</v>
      </c>
      <c r="P217" s="65">
        <v>1107.31</v>
      </c>
      <c r="Q217" s="65">
        <v>1066.77</v>
      </c>
      <c r="R217" s="65">
        <v>42269.96</v>
      </c>
      <c r="S217" s="67"/>
      <c r="T217" s="67"/>
      <c r="U217" s="67"/>
    </row>
    <row r="218" spans="1:21" ht="14.4" customHeight="1">
      <c r="A218" s="2">
        <f>ROW()-4</f>
        <v>214</v>
      </c>
      <c r="B218" s="23" t="e">
        <f>R218/L218</f>
        <v>#DIV/0!</v>
      </c>
      <c r="C218" s="2">
        <f>IF(ISBLANK($B218),-1,IFERROR(IF($B218&gt;0.9,2,IF($B218&lt;0.3,1,0)),-1))</f>
        <v>-1</v>
      </c>
      <c r="D218" s="10">
        <v>7</v>
      </c>
      <c r="M218" s="16"/>
      <c r="N218" s="12"/>
      <c r="O218" s="11"/>
      <c r="P218" s="12"/>
      <c r="Q218" s="12"/>
      <c r="R218" s="12"/>
      <c r="S218" s="6"/>
      <c r="T218" s="13"/>
      <c r="U218" s="14"/>
    </row>
    <row r="219" spans="1:21" ht="14.4" customHeight="1">
      <c r="A219" s="2">
        <f>ROW()-4</f>
        <v>215</v>
      </c>
      <c r="B219" s="23" t="e">
        <f>R219/L219</f>
        <v>#DIV/0!</v>
      </c>
      <c r="C219" s="2">
        <f>IF(ISBLANK($B219),-1,IFERROR(IF($B219&gt;0.9,2,IF($B219&lt;0.3,1,0)),-1))</f>
        <v>-1</v>
      </c>
      <c r="D219" s="10">
        <v>8</v>
      </c>
      <c r="M219" s="16"/>
      <c r="N219" s="12"/>
      <c r="O219" s="11"/>
      <c r="P219" s="12"/>
      <c r="Q219" s="12"/>
      <c r="R219" s="12"/>
      <c r="S219" s="6"/>
      <c r="T219" s="13"/>
      <c r="U219" s="14"/>
    </row>
    <row r="220" spans="1:21" ht="14.4" customHeight="1">
      <c r="A220" s="2">
        <f>ROW()-4</f>
        <v>216</v>
      </c>
      <c r="B220" s="23" t="e">
        <f>R220/L220</f>
        <v>#DIV/0!</v>
      </c>
      <c r="C220" s="2">
        <f>IF(ISBLANK($B220),-1,IFERROR(IF($B220&gt;0.9,2,IF($B220&lt;0.3,1,0)),-1))</f>
        <v>-1</v>
      </c>
      <c r="D220" s="10">
        <v>9</v>
      </c>
      <c r="M220" s="16"/>
      <c r="N220" s="12"/>
      <c r="O220" s="11"/>
      <c r="P220" s="12"/>
      <c r="Q220" s="12"/>
      <c r="R220" s="12"/>
      <c r="S220" s="6"/>
      <c r="T220" s="13"/>
      <c r="U220" s="14"/>
    </row>
    <row r="221" spans="1:21" ht="14.4" customHeight="1">
      <c r="A221" s="2">
        <f>ROW()-4</f>
        <v>217</v>
      </c>
      <c r="B221" s="23" t="e">
        <f>R221/L221</f>
        <v>#DIV/0!</v>
      </c>
      <c r="C221" s="2">
        <f>IF(ISBLANK($B221),-1,IFERROR(IF($B221&gt;0.9,2,IF($B221&lt;0.3,1,0)),-1))</f>
        <v>-1</v>
      </c>
      <c r="D221" s="10">
        <v>10</v>
      </c>
      <c r="M221" s="16"/>
      <c r="N221" s="12"/>
      <c r="O221" s="11"/>
      <c r="P221" s="12"/>
      <c r="Q221" s="12"/>
      <c r="R221" s="12"/>
      <c r="S221" s="6"/>
      <c r="T221" s="13"/>
      <c r="U221" s="14"/>
    </row>
    <row r="222" spans="1:21" ht="14.4" customHeight="1">
      <c r="A222" s="2">
        <f>ROW()-4</f>
        <v>218</v>
      </c>
      <c r="B222" s="23" t="e">
        <f>R222/L222</f>
        <v>#DIV/0!</v>
      </c>
      <c r="C222" s="2">
        <f>IF(ISBLANK($B222),-1,IFERROR(IF($B222&gt;0.9,2,IF($B222&lt;0.3,1,0)),-1))</f>
        <v>-1</v>
      </c>
      <c r="D222" s="10">
        <v>11</v>
      </c>
      <c r="M222" s="16"/>
      <c r="N222" s="12"/>
      <c r="O222" s="11"/>
      <c r="P222" s="12"/>
      <c r="Q222" s="12"/>
      <c r="R222" s="12"/>
      <c r="S222" s="6"/>
      <c r="T222" s="13"/>
      <c r="U222" s="14"/>
    </row>
    <row r="223" spans="1:21" ht="14.4" customHeight="1">
      <c r="A223" s="2">
        <f>ROW()-4</f>
        <v>219</v>
      </c>
      <c r="B223" s="23" t="e">
        <f>R223/L223</f>
        <v>#DIV/0!</v>
      </c>
      <c r="C223" s="2">
        <f>IF(ISBLANK($B223),-1,IFERROR(IF($B223&gt;0.9,2,IF($B223&lt;0.3,1,0)),-1))</f>
        <v>-1</v>
      </c>
      <c r="D223" s="10">
        <v>12</v>
      </c>
      <c r="M223" s="16"/>
      <c r="N223" s="12"/>
      <c r="O223" s="11"/>
      <c r="P223" s="12"/>
      <c r="Q223" s="12"/>
      <c r="R223" s="12"/>
      <c r="S223" s="6"/>
      <c r="T223" s="13"/>
      <c r="U223" s="14"/>
    </row>
    <row r="224" spans="1:21" ht="14.4" customHeight="1">
      <c r="A224" s="2">
        <f>ROW()-4</f>
        <v>220</v>
      </c>
      <c r="B224" s="23" t="e">
        <f>R224/L224</f>
        <v>#DIV/0!</v>
      </c>
      <c r="C224" s="2">
        <f>IF(ISBLANK($B224),-1,IFERROR(IF($B224&gt;0.9,2,IF($B224&lt;0.3,1,0)),-1))</f>
        <v>-1</v>
      </c>
      <c r="D224" s="38"/>
      <c r="M224" s="16"/>
      <c r="N224" s="12"/>
      <c r="O224" s="11"/>
      <c r="P224" s="12"/>
      <c r="Q224" s="12"/>
      <c r="R224" s="12"/>
      <c r="S224" s="6"/>
      <c r="T224" s="13"/>
      <c r="U224" s="14"/>
    </row>
    <row r="225" spans="1:21" ht="14.4" customHeight="1">
      <c r="A225" s="2">
        <f>ROW()-4</f>
        <v>221</v>
      </c>
      <c r="B225" s="23" t="e">
        <f>R225/L225</f>
        <v>#DIV/0!</v>
      </c>
      <c r="C225" s="2">
        <f>IF(ISBLANK($B225),-1,IFERROR(IF($B225&gt;0.9,2,IF($B225&lt;0.3,1,0)),-1))</f>
        <v>-1</v>
      </c>
      <c r="D225" s="38"/>
      <c r="M225" s="16"/>
      <c r="N225" s="12"/>
      <c r="O225" s="11"/>
      <c r="P225" s="12"/>
      <c r="Q225" s="12"/>
      <c r="R225" s="12"/>
      <c r="S225" s="6"/>
      <c r="T225" s="13"/>
      <c r="U225" s="14"/>
    </row>
    <row r="226" spans="1:21" ht="14.4" customHeight="1">
      <c r="A226" s="2">
        <f>ROW()-4</f>
        <v>222</v>
      </c>
      <c r="B226" s="23" t="e">
        <f>R226/L226</f>
        <v>#DIV/0!</v>
      </c>
      <c r="C226" s="2">
        <f>IF(ISBLANK($B226),-1,IFERROR(IF($B226&gt;0.9,2,IF($B226&lt;0.3,1,0)),-1))</f>
        <v>-1</v>
      </c>
      <c r="D226" s="38"/>
      <c r="M226" s="16"/>
      <c r="N226" s="12"/>
      <c r="O226" s="11"/>
      <c r="P226" s="12"/>
      <c r="Q226" s="12"/>
      <c r="R226" s="12"/>
      <c r="S226" s="6"/>
      <c r="T226" s="13"/>
      <c r="U226" s="14"/>
    </row>
    <row r="227" spans="1:21" ht="14.4" customHeight="1">
      <c r="A227" s="2">
        <f>ROW()-4</f>
        <v>223</v>
      </c>
      <c r="B227" s="23" t="e">
        <f>R227/L227</f>
        <v>#DIV/0!</v>
      </c>
      <c r="C227" s="2">
        <f>IF(ISBLANK($B227),-1,IFERROR(IF($B227&gt;0.9,2,IF($B227&lt;0.3,1,0)),-1))</f>
        <v>-1</v>
      </c>
      <c r="D227" s="38"/>
      <c r="M227" s="16"/>
      <c r="N227" s="12"/>
      <c r="O227" s="11"/>
      <c r="P227" s="12"/>
      <c r="Q227" s="12"/>
      <c r="R227" s="12"/>
      <c r="S227" s="6"/>
      <c r="T227" s="13"/>
      <c r="U227" s="14"/>
    </row>
    <row r="228" spans="1:21" ht="14.4" customHeight="1">
      <c r="A228" s="2">
        <f>ROW()-4</f>
        <v>224</v>
      </c>
      <c r="B228" s="23" t="e">
        <f>R228/L228</f>
        <v>#DIV/0!</v>
      </c>
      <c r="C228" s="2">
        <f>IF(ISBLANK($B228),-1,IFERROR(IF($B228&gt;0.9,2,IF($B228&lt;0.3,1,0)),-1))</f>
        <v>-1</v>
      </c>
      <c r="D228" s="38"/>
      <c r="M228" s="16"/>
      <c r="N228" s="12"/>
      <c r="O228" s="11"/>
      <c r="P228" s="12"/>
      <c r="Q228" s="12"/>
      <c r="R228" s="12"/>
      <c r="S228" s="6"/>
      <c r="T228" s="13"/>
      <c r="U228" s="14"/>
    </row>
    <row r="229" spans="1:21" ht="14.4" customHeight="1">
      <c r="A229" s="2">
        <f>ROW()-4</f>
        <v>225</v>
      </c>
      <c r="B229" s="23" t="e">
        <f>R229/L229</f>
        <v>#DIV/0!</v>
      </c>
      <c r="C229" s="2">
        <f>IF(ISBLANK($B229),-1,IFERROR(IF($B229&gt;0.9,2,IF($B229&lt;0.3,1,0)),-1))</f>
        <v>-1</v>
      </c>
      <c r="D229" s="38"/>
      <c r="M229" s="16"/>
      <c r="N229" s="12"/>
      <c r="O229" s="11"/>
      <c r="P229" s="12"/>
      <c r="Q229" s="12"/>
      <c r="R229" s="12"/>
      <c r="S229" s="6"/>
      <c r="T229" s="13"/>
      <c r="U229" s="14"/>
    </row>
    <row r="230" spans="1:21" ht="14.4" customHeight="1">
      <c r="A230" s="2">
        <f>ROW()-4</f>
        <v>226</v>
      </c>
      <c r="B230" s="23" t="e">
        <f>R230/L230</f>
        <v>#DIV/0!</v>
      </c>
      <c r="C230" s="2">
        <f>IF(ISBLANK($B230),-1,IFERROR(IF($B230&gt;0.9,2,IF($B230&lt;0.3,1,0)),-1))</f>
        <v>-1</v>
      </c>
      <c r="D230" s="38"/>
      <c r="M230" s="16"/>
      <c r="N230" s="12"/>
      <c r="O230" s="11"/>
      <c r="P230" s="12"/>
      <c r="Q230" s="12"/>
      <c r="R230" s="12"/>
      <c r="S230" s="6"/>
      <c r="T230" s="13"/>
      <c r="U230" s="14"/>
    </row>
    <row r="231" spans="1:21" ht="14.4" customHeight="1">
      <c r="A231" s="2">
        <f>ROW()-4</f>
        <v>227</v>
      </c>
      <c r="B231" s="23" t="e">
        <f>R231/L231</f>
        <v>#DIV/0!</v>
      </c>
      <c r="C231" s="2">
        <f>IF(ISBLANK($B231),-1,IFERROR(IF($B231&gt;0.9,2,IF($B231&lt;0.3,1,0)),-1))</f>
        <v>-1</v>
      </c>
      <c r="D231" s="38"/>
      <c r="M231" s="16"/>
      <c r="N231" s="12"/>
      <c r="O231" s="11"/>
      <c r="P231" s="12"/>
      <c r="Q231" s="12"/>
      <c r="R231" s="12"/>
      <c r="S231" s="6"/>
      <c r="T231" s="13"/>
      <c r="U231" s="14"/>
    </row>
    <row r="232" spans="1:21" ht="14.4" customHeight="1">
      <c r="A232" s="2">
        <f>ROW()-4</f>
        <v>228</v>
      </c>
      <c r="B232" s="23" t="e">
        <f>R232/L232</f>
        <v>#DIV/0!</v>
      </c>
      <c r="C232" s="2">
        <f>IF(ISBLANK($B232),-1,IFERROR(IF($B232&gt;0.9,2,IF($B232&lt;0.3,1,0)),-1))</f>
        <v>-1</v>
      </c>
      <c r="D232" s="38"/>
      <c r="M232" s="16"/>
      <c r="N232" s="12"/>
      <c r="O232" s="11"/>
      <c r="P232" s="12"/>
      <c r="Q232" s="12"/>
      <c r="R232" s="12"/>
      <c r="S232" s="6"/>
      <c r="T232" s="13"/>
      <c r="U232" s="14"/>
    </row>
    <row r="233" spans="1:21" ht="14.4" customHeight="1">
      <c r="A233" s="2">
        <f>ROW()-4</f>
        <v>229</v>
      </c>
      <c r="B233" s="23" t="e">
        <f>R233/L233</f>
        <v>#DIV/0!</v>
      </c>
      <c r="C233" s="2">
        <f>IF(ISBLANK($B233),-1,IFERROR(IF($B233&gt;0.9,2,IF($B233&lt;0.3,1,0)),-1))</f>
        <v>-1</v>
      </c>
      <c r="D233" s="38"/>
      <c r="M233" s="16"/>
      <c r="N233" s="12"/>
      <c r="O233" s="11"/>
      <c r="P233" s="12"/>
      <c r="Q233" s="12"/>
      <c r="R233" s="12"/>
      <c r="S233" s="6"/>
      <c r="T233" s="13"/>
      <c r="U233" s="14"/>
    </row>
    <row r="234" spans="1:21" ht="14.4" customHeight="1">
      <c r="A234" s="2">
        <f>ROW()-4</f>
        <v>230</v>
      </c>
      <c r="B234" s="23" t="e">
        <f>R234/L234</f>
        <v>#DIV/0!</v>
      </c>
      <c r="C234" s="2">
        <f>IF(ISBLANK($B234),-1,IFERROR(IF($B234&gt;0.9,2,IF($B234&lt;0.3,1,0)),-1))</f>
        <v>-1</v>
      </c>
      <c r="D234" s="38"/>
      <c r="M234" s="16"/>
      <c r="N234" s="12"/>
      <c r="O234" s="11"/>
      <c r="P234" s="12"/>
      <c r="Q234" s="12"/>
      <c r="R234" s="12"/>
      <c r="S234" s="6"/>
      <c r="T234" s="13"/>
      <c r="U234" s="14"/>
    </row>
    <row r="235" spans="1:21" ht="14.4" customHeight="1">
      <c r="A235" s="2">
        <f>ROW()-4</f>
        <v>231</v>
      </c>
      <c r="B235" s="23" t="e">
        <f>R235/L235</f>
        <v>#DIV/0!</v>
      </c>
      <c r="C235" s="2">
        <f>IF(ISBLANK($B235),-1,IFERROR(IF($B235&gt;0.9,2,IF($B235&lt;0.3,1,0)),-1))</f>
        <v>-1</v>
      </c>
      <c r="D235" s="38"/>
      <c r="M235" s="16"/>
      <c r="N235" s="12"/>
      <c r="O235" s="11"/>
      <c r="P235" s="12"/>
      <c r="Q235" s="12"/>
      <c r="R235" s="12"/>
      <c r="S235" s="6"/>
      <c r="T235" s="13"/>
      <c r="U235" s="14"/>
    </row>
    <row r="236" spans="1:21" ht="14.4" customHeight="1">
      <c r="A236" s="2">
        <f>ROW()-4</f>
        <v>232</v>
      </c>
      <c r="B236" s="23" t="e">
        <f>R236/L236</f>
        <v>#DIV/0!</v>
      </c>
      <c r="C236" s="2">
        <f>IF(ISBLANK($B236),-1,IFERROR(IF($B236&gt;0.9,2,IF($B236&lt;0.3,1,0)),-1))</f>
        <v>-1</v>
      </c>
      <c r="D236" s="38"/>
      <c r="M236" s="16"/>
      <c r="N236" s="12"/>
      <c r="O236" s="11"/>
      <c r="P236" s="12"/>
      <c r="Q236" s="12"/>
      <c r="R236" s="12"/>
      <c r="S236" s="6"/>
      <c r="T236" s="13"/>
      <c r="U236" s="14"/>
    </row>
    <row r="237" spans="1:21" ht="14.4" customHeight="1">
      <c r="A237" s="2">
        <f>ROW()-4</f>
        <v>233</v>
      </c>
      <c r="B237" s="23" t="e">
        <f>R237/L237</f>
        <v>#DIV/0!</v>
      </c>
      <c r="C237" s="2">
        <f>IF(ISBLANK($B237),-1,IFERROR(IF($B237&gt;0.9,2,IF($B237&lt;0.3,1,0)),-1))</f>
        <v>-1</v>
      </c>
      <c r="D237" s="38"/>
      <c r="M237" s="16"/>
      <c r="N237" s="12"/>
      <c r="O237" s="11"/>
      <c r="P237" s="12"/>
      <c r="Q237" s="12"/>
      <c r="R237" s="12"/>
      <c r="S237" s="6"/>
      <c r="T237" s="13"/>
      <c r="U237" s="14"/>
    </row>
    <row r="238" spans="1:21" ht="14.4" customHeight="1">
      <c r="A238" s="2">
        <f>ROW()-4</f>
        <v>234</v>
      </c>
      <c r="B238" s="23" t="e">
        <f>R238/L238</f>
        <v>#DIV/0!</v>
      </c>
      <c r="C238" s="2">
        <f>IF(ISBLANK($B238),-1,IFERROR(IF($B238&gt;0.9,2,IF($B238&lt;0.3,1,0)),-1))</f>
        <v>-1</v>
      </c>
      <c r="D238" s="38"/>
      <c r="M238" s="16"/>
      <c r="N238" s="12"/>
      <c r="O238" s="11"/>
      <c r="P238" s="12"/>
      <c r="Q238" s="12"/>
      <c r="R238" s="12"/>
      <c r="S238" s="6"/>
      <c r="T238" s="13"/>
      <c r="U238" s="14"/>
    </row>
    <row r="239" spans="1:21" ht="14.4" customHeight="1">
      <c r="A239" s="2">
        <f>ROW()-4</f>
        <v>235</v>
      </c>
      <c r="B239" s="23" t="e">
        <f>R239/L239</f>
        <v>#DIV/0!</v>
      </c>
      <c r="C239" s="2">
        <f>IF(ISBLANK($B239),-1,IFERROR(IF($B239&gt;0.9,2,IF($B239&lt;0.3,1,0)),-1))</f>
        <v>-1</v>
      </c>
      <c r="D239" s="38"/>
      <c r="M239" s="16"/>
      <c r="N239" s="12"/>
      <c r="O239" s="11"/>
      <c r="P239" s="12"/>
      <c r="Q239" s="12"/>
      <c r="R239" s="12"/>
      <c r="S239" s="6"/>
      <c r="T239" s="13"/>
      <c r="U239" s="14"/>
    </row>
    <row r="240" spans="1:21" ht="14.4" customHeight="1">
      <c r="A240" s="2">
        <f>ROW()-4</f>
        <v>236</v>
      </c>
      <c r="B240" s="23" t="e">
        <f>R240/L240</f>
        <v>#DIV/0!</v>
      </c>
      <c r="C240" s="2">
        <f>IF(ISBLANK($B240),-1,IFERROR(IF($B240&gt;0.9,2,IF($B240&lt;0.3,1,0)),-1))</f>
        <v>-1</v>
      </c>
      <c r="D240" s="38"/>
      <c r="M240" s="16"/>
      <c r="N240" s="12"/>
      <c r="O240" s="11"/>
      <c r="P240" s="12"/>
      <c r="Q240" s="12"/>
      <c r="R240" s="12"/>
      <c r="S240" s="6"/>
      <c r="T240" s="13"/>
      <c r="U240" s="14"/>
    </row>
    <row r="241" spans="1:22" ht="14.4" customHeight="1">
      <c r="A241" s="2">
        <f>ROW()-4</f>
        <v>237</v>
      </c>
      <c r="B241" s="23" t="e">
        <f>R241/L241</f>
        <v>#DIV/0!</v>
      </c>
      <c r="C241" s="2">
        <f>IF(ISBLANK($B241),-1,IFERROR(IF($B241&gt;0.9,2,IF($B241&lt;0.3,1,0)),-1))</f>
        <v>-1</v>
      </c>
      <c r="D241" s="38"/>
      <c r="M241" s="16"/>
      <c r="N241" s="12"/>
      <c r="O241" s="11"/>
      <c r="P241" s="12"/>
      <c r="Q241" s="12"/>
      <c r="R241" s="12"/>
      <c r="S241" s="6"/>
      <c r="T241" s="13"/>
      <c r="U241" s="14"/>
    </row>
    <row r="242" spans="1:22" ht="14.4" customHeight="1">
      <c r="A242" s="2">
        <f>ROW()-4</f>
        <v>238</v>
      </c>
      <c r="B242" s="23" t="e">
        <f>R242/L242</f>
        <v>#DIV/0!</v>
      </c>
      <c r="C242" s="2">
        <f>IF(ISBLANK($B242),-1,IFERROR(IF($B242&gt;0.9,2,IF($B242&lt;0.3,1,0)),-1))</f>
        <v>-1</v>
      </c>
      <c r="D242" s="38"/>
      <c r="M242" s="16"/>
      <c r="N242" s="12"/>
      <c r="O242" s="11"/>
      <c r="P242" s="12"/>
      <c r="Q242" s="12"/>
      <c r="R242" s="12"/>
      <c r="S242" s="6"/>
      <c r="T242" s="13"/>
      <c r="U242" s="14"/>
    </row>
    <row r="243" spans="1:22" ht="14.4" customHeight="1">
      <c r="A243" s="2">
        <f>ROW()-4</f>
        <v>239</v>
      </c>
      <c r="B243" s="23" t="e">
        <f>R243/L243</f>
        <v>#DIV/0!</v>
      </c>
      <c r="C243" s="2">
        <f>IF(ISBLANK($B243),-1,IFERROR(IF($B243&gt;0.9,2,IF($B243&lt;0.3,1,0)),-1))</f>
        <v>-1</v>
      </c>
      <c r="D243" s="38"/>
      <c r="M243" s="79"/>
      <c r="N243" s="27"/>
      <c r="O243" s="28"/>
      <c r="P243" s="27"/>
      <c r="Q243" s="27"/>
      <c r="R243" s="27"/>
      <c r="S243" s="68"/>
      <c r="T243" s="69"/>
      <c r="U243" s="70"/>
    </row>
    <row r="244" spans="1:22" ht="14.4" customHeight="1">
      <c r="A244" s="2">
        <f>ROW()-4</f>
        <v>240</v>
      </c>
      <c r="B244" s="23" t="e">
        <f>R244/L244</f>
        <v>#DIV/0!</v>
      </c>
      <c r="C244" s="2">
        <f>IF(ISBLANK($B244),-1,IFERROR(IF($B244&gt;0.9,2,IF($B244&lt;0.3,1,0)),-1))</f>
        <v>-1</v>
      </c>
      <c r="D244" s="38"/>
      <c r="M244" s="16"/>
      <c r="N244" s="12"/>
      <c r="O244" s="11"/>
      <c r="P244" s="12"/>
      <c r="Q244" s="12"/>
      <c r="R244" s="12"/>
      <c r="S244" s="68"/>
      <c r="T244" s="69"/>
      <c r="U244" s="70"/>
    </row>
    <row r="245" spans="1:22" ht="14.4" customHeight="1">
      <c r="A245" s="2">
        <f>ROW()-4</f>
        <v>241</v>
      </c>
      <c r="B245" s="23" t="e">
        <f>R245/L245</f>
        <v>#DIV/0!</v>
      </c>
      <c r="C245" s="2">
        <f>IF(ISBLANK($B245),-1,IFERROR(IF($B245&gt;0.9,2,IF($B245&lt;0.3,1,0)),-1))</f>
        <v>-1</v>
      </c>
      <c r="D245" s="38"/>
      <c r="M245" s="79"/>
      <c r="N245" s="27"/>
      <c r="O245" s="28"/>
      <c r="P245" s="27"/>
      <c r="Q245" s="27"/>
      <c r="R245" s="27"/>
      <c r="S245" s="68"/>
      <c r="T245" s="69"/>
      <c r="U245" s="70"/>
    </row>
    <row r="246" spans="1:22" ht="14.4" customHeight="1">
      <c r="A246" s="2">
        <f>ROW()-4</f>
        <v>242</v>
      </c>
      <c r="B246" s="23" t="e">
        <f>R246/L246</f>
        <v>#DIV/0!</v>
      </c>
      <c r="C246" s="2">
        <f>IF(ISBLANK($B246),-1,IFERROR(IF($B246&gt;0.9,2,IF($B246&lt;0.3,1,0)),-1))</f>
        <v>-1</v>
      </c>
      <c r="D246" s="38"/>
      <c r="M246" s="79"/>
      <c r="N246" s="27"/>
      <c r="O246" s="28"/>
      <c r="P246" s="27"/>
      <c r="Q246" s="27"/>
      <c r="R246" s="27"/>
      <c r="S246" s="68"/>
      <c r="T246" s="69"/>
      <c r="U246" s="70"/>
    </row>
    <row r="247" spans="1:22" ht="14.4" customHeight="1">
      <c r="A247" s="2">
        <f>ROW()-4</f>
        <v>243</v>
      </c>
      <c r="B247" s="23" t="e">
        <f>R247/L247</f>
        <v>#DIV/0!</v>
      </c>
      <c r="C247" s="2">
        <f>IF(ISBLANK($B247),-1,IFERROR(IF($B247&gt;0.9,2,IF($B247&lt;0.3,1,0)),-1))</f>
        <v>-1</v>
      </c>
      <c r="D247" s="38"/>
      <c r="M247" s="79"/>
      <c r="N247" s="27"/>
      <c r="O247" s="28"/>
      <c r="P247" s="27"/>
      <c r="Q247" s="27"/>
      <c r="R247" s="27"/>
      <c r="S247" s="68"/>
      <c r="T247" s="69"/>
      <c r="U247" s="70"/>
    </row>
    <row r="248" spans="1:22" ht="14.4" customHeight="1">
      <c r="A248" s="2">
        <f>ROW()-4</f>
        <v>244</v>
      </c>
      <c r="B248" s="23" t="e">
        <f>R248/L248</f>
        <v>#DIV/0!</v>
      </c>
      <c r="C248" s="2">
        <f>IF(ISBLANK($B248),-1,IFERROR(IF($B248&gt;0.9,2,IF($B248&lt;0.3,1,0)),-1))</f>
        <v>-1</v>
      </c>
      <c r="D248" s="38"/>
      <c r="M248" s="79"/>
      <c r="N248" s="27"/>
      <c r="O248" s="28"/>
      <c r="P248" s="27"/>
      <c r="Q248" s="27"/>
      <c r="R248" s="27"/>
      <c r="S248" s="68"/>
      <c r="T248" s="69"/>
      <c r="U248" s="70"/>
    </row>
    <row r="249" spans="1:22" ht="14.4" customHeight="1">
      <c r="A249" s="2">
        <f>ROW()-4</f>
        <v>245</v>
      </c>
      <c r="B249" s="23" t="e">
        <f>R249/L249</f>
        <v>#DIV/0!</v>
      </c>
      <c r="C249" s="2">
        <f>IF(ISBLANK($B249),-1,IFERROR(IF($B249&gt;0.9,2,IF($B249&lt;0.3,1,0)),-1))</f>
        <v>-1</v>
      </c>
      <c r="D249" s="38"/>
      <c r="M249" s="26"/>
      <c r="N249" s="27"/>
      <c r="O249" s="28"/>
      <c r="P249" s="27"/>
      <c r="Q249" s="27"/>
      <c r="R249" s="27"/>
      <c r="S249" s="3"/>
      <c r="T249" s="29"/>
      <c r="U249" s="30"/>
    </row>
    <row r="250" spans="1:22" ht="14.4" customHeight="1">
      <c r="A250" s="2">
        <f>ROW()-4</f>
        <v>246</v>
      </c>
      <c r="B250" s="23" t="e">
        <f>R250/L250</f>
        <v>#DIV/0!</v>
      </c>
      <c r="C250" s="2">
        <f>IF(ISBLANK($B250),-1,IFERROR(IF($B250&gt;0.9,2,IF($B250&lt;0.3,1,0)),-1))</f>
        <v>-1</v>
      </c>
      <c r="D250" s="38"/>
      <c r="M250" s="79"/>
      <c r="N250" s="27"/>
      <c r="O250" s="28"/>
      <c r="P250" s="27"/>
      <c r="Q250" s="27"/>
      <c r="R250" s="27"/>
      <c r="S250" s="3"/>
      <c r="T250" s="29"/>
      <c r="U250" s="30"/>
      <c r="V250" s="15"/>
    </row>
    <row r="251" spans="1:22" ht="14.4" customHeight="1">
      <c r="A251" s="2">
        <f>ROW()-4</f>
        <v>247</v>
      </c>
      <c r="B251" s="23" t="e">
        <f>R251/L251</f>
        <v>#DIV/0!</v>
      </c>
      <c r="C251" s="2">
        <f>IF(ISBLANK($B251),-1,IFERROR(IF($B251&gt;0.9,2,IF($B251&lt;0.3,1,0)),-1))</f>
        <v>-1</v>
      </c>
      <c r="D251" s="77"/>
      <c r="M251" s="26"/>
      <c r="N251" s="27"/>
      <c r="O251" s="28"/>
      <c r="P251" s="27"/>
      <c r="Q251" s="27"/>
      <c r="R251" s="27"/>
      <c r="S251" s="3"/>
      <c r="T251" s="29"/>
      <c r="U251" s="30"/>
      <c r="V251" s="15"/>
    </row>
    <row r="252" spans="1:22" ht="14.4" customHeight="1">
      <c r="A252" s="2">
        <f>ROW()-4</f>
        <v>248</v>
      </c>
      <c r="B252" s="23" t="e">
        <f>R252/L252</f>
        <v>#DIV/0!</v>
      </c>
      <c r="C252" s="2">
        <f>IF(ISBLANK($B252),-1,IFERROR(IF($B252&gt;0.9,2,IF($B252&lt;0.3,1,0)),-1))</f>
        <v>-1</v>
      </c>
      <c r="D252" s="77"/>
      <c r="M252" s="26"/>
      <c r="N252" s="27"/>
      <c r="O252" s="28"/>
      <c r="P252" s="27"/>
      <c r="Q252" s="27"/>
      <c r="R252" s="27"/>
      <c r="S252" s="3"/>
      <c r="T252" s="29"/>
      <c r="U252" s="30"/>
      <c r="V252" s="15"/>
    </row>
    <row r="253" spans="1:22" ht="14.4" customHeight="1">
      <c r="A253" s="2">
        <f>ROW()-4</f>
        <v>249</v>
      </c>
      <c r="B253" s="23" t="e">
        <f>R253/L253</f>
        <v>#DIV/0!</v>
      </c>
      <c r="C253" s="2">
        <f>IF(ISBLANK($B253),-1,IFERROR(IF($B253&gt;0.9,2,IF($B253&lt;0.3,1,0)),-1))</f>
        <v>-1</v>
      </c>
      <c r="D253" s="77"/>
      <c r="M253" s="26"/>
      <c r="N253" s="27"/>
      <c r="O253" s="28"/>
      <c r="P253" s="27"/>
      <c r="Q253" s="27"/>
      <c r="R253" s="27"/>
      <c r="S253" s="3"/>
      <c r="T253" s="29"/>
      <c r="U253" s="30"/>
      <c r="V253" s="15"/>
    </row>
    <row r="254" spans="1:22" ht="14.4" customHeight="1">
      <c r="A254" s="2">
        <f>ROW()-4</f>
        <v>250</v>
      </c>
      <c r="B254" s="23" t="e">
        <f>R254/L254</f>
        <v>#DIV/0!</v>
      </c>
      <c r="C254" s="2">
        <f>IF(ISBLANK($B254),-1,IFERROR(IF($B254&gt;0.9,2,IF($B254&lt;0.3,1,0)),-1))</f>
        <v>-1</v>
      </c>
      <c r="D254" s="77"/>
      <c r="M254" s="26"/>
      <c r="N254" s="27"/>
      <c r="O254" s="28"/>
      <c r="P254" s="27"/>
      <c r="Q254" s="27"/>
      <c r="R254" s="27"/>
      <c r="S254" s="3"/>
      <c r="T254" s="29"/>
      <c r="U254" s="30"/>
      <c r="V254" s="15"/>
    </row>
    <row r="255" spans="1:22" ht="14.4" customHeight="1">
      <c r="A255" s="2">
        <f>ROW()-4</f>
        <v>251</v>
      </c>
      <c r="B255" s="23" t="e">
        <f>R255/L255</f>
        <v>#DIV/0!</v>
      </c>
      <c r="C255" s="2">
        <f>IF(ISBLANK($B255),-1,IFERROR(IF($B255&gt;0.9,2,IF($B255&lt;0.3,1,0)),-1))</f>
        <v>-1</v>
      </c>
      <c r="D255" s="77"/>
      <c r="M255" s="26"/>
      <c r="N255" s="27"/>
      <c r="O255" s="28"/>
      <c r="P255" s="27"/>
      <c r="Q255" s="27"/>
      <c r="R255" s="27"/>
      <c r="S255" s="3"/>
      <c r="T255" s="29"/>
      <c r="U255" s="30"/>
      <c r="V255" s="15"/>
    </row>
    <row r="256" spans="1:22" ht="14.4" customHeight="1">
      <c r="A256" s="2">
        <f>ROW()-4</f>
        <v>252</v>
      </c>
      <c r="B256" s="23" t="e">
        <f>R256/L256</f>
        <v>#DIV/0!</v>
      </c>
      <c r="C256" s="2">
        <f>IF(ISBLANK($B256),-1,IFERROR(IF($B256&gt;0.9,2,IF($B256&lt;0.3,1,0)),-1))</f>
        <v>-1</v>
      </c>
      <c r="D256" s="77"/>
      <c r="M256" s="26"/>
      <c r="N256" s="27"/>
      <c r="O256" s="28"/>
      <c r="P256" s="27"/>
      <c r="Q256" s="27"/>
      <c r="R256" s="27"/>
      <c r="S256" s="3"/>
      <c r="T256" s="29"/>
      <c r="U256" s="30"/>
      <c r="V256" s="15"/>
    </row>
    <row r="257" spans="1:22" ht="14.4" customHeight="1">
      <c r="A257" s="2">
        <f>ROW()-4</f>
        <v>253</v>
      </c>
      <c r="B257" s="23" t="e">
        <f>R257/L257</f>
        <v>#DIV/0!</v>
      </c>
      <c r="C257" s="2">
        <f>IF(ISBLANK($B257),-1,IFERROR(IF($B257&gt;0.9,2,IF($B257&lt;0.3,1,0)),-1))</f>
        <v>-1</v>
      </c>
      <c r="D257" s="2"/>
      <c r="M257" s="26"/>
      <c r="N257" s="27"/>
      <c r="O257" s="28"/>
      <c r="P257" s="27"/>
      <c r="Q257" s="27"/>
      <c r="R257" s="27"/>
      <c r="S257" s="3"/>
      <c r="T257" s="29"/>
      <c r="U257" s="30"/>
      <c r="V257" s="15"/>
    </row>
    <row r="258" spans="1:22" ht="14.4" customHeight="1">
      <c r="A258" s="2">
        <f>ROW()-4</f>
        <v>254</v>
      </c>
      <c r="B258" s="23" t="e">
        <f>R258/L258</f>
        <v>#DIV/0!</v>
      </c>
      <c r="C258" s="2">
        <f>IF(ISBLANK($B258),-1,IFERROR(IF($B258&gt;0.9,2,IF($B258&lt;0.3,1,0)),-1))</f>
        <v>-1</v>
      </c>
      <c r="D258" s="2"/>
      <c r="M258" s="26"/>
      <c r="N258" s="27"/>
      <c r="O258" s="28"/>
      <c r="P258" s="27"/>
      <c r="Q258" s="27"/>
      <c r="R258" s="27"/>
      <c r="S258" s="3"/>
      <c r="T258" s="29"/>
      <c r="U258" s="30"/>
      <c r="V258" s="15"/>
    </row>
    <row r="259" spans="1:22" ht="14.4" customHeight="1">
      <c r="A259" s="2">
        <f>ROW()-4</f>
        <v>255</v>
      </c>
      <c r="B259" s="23" t="e">
        <f>R259/L259</f>
        <v>#DIV/0!</v>
      </c>
      <c r="C259" s="2">
        <f>IF(ISBLANK($B259),-1,IFERROR(IF($B259&gt;0.9,2,IF($B259&lt;0.3,1,0)),-1))</f>
        <v>-1</v>
      </c>
      <c r="D259" s="2"/>
      <c r="M259" s="26"/>
      <c r="N259" s="27"/>
      <c r="O259" s="28"/>
      <c r="P259" s="27"/>
      <c r="Q259" s="27"/>
      <c r="R259" s="27"/>
      <c r="S259" s="3"/>
      <c r="T259" s="29"/>
      <c r="U259" s="30"/>
      <c r="V259" s="15"/>
    </row>
    <row r="260" spans="1:22" ht="14.4" customHeight="1">
      <c r="A260" s="2">
        <f>ROW()-4</f>
        <v>256</v>
      </c>
      <c r="B260" s="23" t="e">
        <f>R260/L260</f>
        <v>#DIV/0!</v>
      </c>
      <c r="C260" s="2">
        <f>IF(ISBLANK($B260),-1,IFERROR(IF($B260&gt;0.9,2,IF($B260&lt;0.3,1,0)),-1))</f>
        <v>-1</v>
      </c>
      <c r="D260" s="2"/>
      <c r="M260" s="26"/>
      <c r="N260" s="27"/>
      <c r="O260" s="28"/>
      <c r="P260" s="27"/>
      <c r="Q260" s="27"/>
      <c r="R260" s="27"/>
      <c r="S260" s="3"/>
      <c r="T260" s="29"/>
      <c r="U260" s="30"/>
      <c r="V260" s="15"/>
    </row>
    <row r="261" spans="1:22" ht="14.4" customHeight="1">
      <c r="A261" s="2">
        <f>ROW()-4</f>
        <v>257</v>
      </c>
      <c r="B261" s="23" t="e">
        <f>R261/L261</f>
        <v>#DIV/0!</v>
      </c>
      <c r="C261" s="2">
        <f>IF(ISBLANK($B261),-1,IFERROR(IF($B261&gt;0.9,2,IF($B261&lt;0.3,1,0)),-1))</f>
        <v>-1</v>
      </c>
      <c r="D261" s="2"/>
      <c r="M261" s="26"/>
      <c r="N261" s="27"/>
      <c r="O261" s="28"/>
      <c r="P261" s="27"/>
      <c r="Q261" s="27"/>
      <c r="R261" s="27"/>
      <c r="S261" s="3"/>
      <c r="T261" s="29"/>
      <c r="U261" s="30"/>
      <c r="V261" s="15"/>
    </row>
    <row r="262" spans="1:22" ht="14.4" customHeight="1">
      <c r="A262" s="2">
        <f>ROW()-4</f>
        <v>258</v>
      </c>
      <c r="B262" s="23" t="e">
        <f>R262/L262</f>
        <v>#DIV/0!</v>
      </c>
      <c r="C262" s="2">
        <f>IF(ISBLANK($B262),-1,IFERROR(IF($B262&gt;0.9,2,IF($B262&lt;0.3,1,0)),-1))</f>
        <v>-1</v>
      </c>
      <c r="D262" s="2"/>
      <c r="M262" s="26"/>
      <c r="N262" s="27"/>
      <c r="O262" s="28"/>
      <c r="P262" s="27"/>
      <c r="Q262" s="27"/>
      <c r="R262" s="27"/>
      <c r="S262" s="3"/>
      <c r="T262" s="29"/>
      <c r="U262" s="30"/>
      <c r="V262" s="15"/>
    </row>
    <row r="263" spans="1:22" ht="14.4" customHeight="1">
      <c r="A263" s="2">
        <f>ROW()-4</f>
        <v>259</v>
      </c>
      <c r="B263" s="23" t="e">
        <f>R263/L263</f>
        <v>#DIV/0!</v>
      </c>
      <c r="C263" s="2">
        <f>IF(ISBLANK($B263),-1,IFERROR(IF($B263&gt;0.9,2,IF($B263&lt;0.3,1,0)),-1))</f>
        <v>-1</v>
      </c>
      <c r="D263" s="2"/>
      <c r="M263" s="26"/>
      <c r="N263" s="27"/>
      <c r="O263" s="28"/>
      <c r="P263" s="27"/>
      <c r="Q263" s="27"/>
      <c r="R263" s="27"/>
      <c r="S263" s="3"/>
      <c r="T263" s="29"/>
      <c r="U263" s="30"/>
      <c r="V263" s="15"/>
    </row>
    <row r="264" spans="1:22" ht="14.4" customHeight="1">
      <c r="A264" s="2">
        <f>ROW()-4</f>
        <v>260</v>
      </c>
      <c r="B264" s="23" t="e">
        <f>R264/L264</f>
        <v>#DIV/0!</v>
      </c>
      <c r="C264" s="2">
        <f>IF(ISBLANK($B264),-1,IFERROR(IF($B264&gt;0.9,2,IF($B264&lt;0.3,1,0)),-1))</f>
        <v>-1</v>
      </c>
      <c r="D264" s="2"/>
      <c r="M264" s="26"/>
      <c r="N264" s="27"/>
      <c r="O264" s="28"/>
      <c r="P264" s="27"/>
      <c r="Q264" s="27"/>
      <c r="R264" s="27"/>
      <c r="S264" s="3"/>
      <c r="T264" s="29"/>
      <c r="U264" s="30"/>
      <c r="V264" s="15"/>
    </row>
    <row r="265" spans="1:22" ht="14.4" customHeight="1">
      <c r="A265" s="2">
        <f>ROW()-4</f>
        <v>261</v>
      </c>
      <c r="B265" s="23" t="e">
        <f>R265/L265</f>
        <v>#DIV/0!</v>
      </c>
      <c r="C265" s="2">
        <f>IF(ISBLANK($B265),-1,IFERROR(IF($B265&gt;0.9,2,IF($B265&lt;0.3,1,0)),-1))</f>
        <v>-1</v>
      </c>
      <c r="D265" s="2"/>
      <c r="M265" s="26"/>
      <c r="N265" s="27"/>
      <c r="O265" s="28"/>
      <c r="P265" s="27"/>
      <c r="Q265" s="27"/>
      <c r="R265" s="27"/>
      <c r="S265" s="3"/>
      <c r="T265" s="29"/>
      <c r="U265" s="30"/>
      <c r="V265" s="15"/>
    </row>
    <row r="266" spans="1:22" ht="14.4" customHeight="1">
      <c r="A266" s="2">
        <f>ROW()-4</f>
        <v>262</v>
      </c>
      <c r="B266" s="23" t="e">
        <f>R266/L266</f>
        <v>#DIV/0!</v>
      </c>
      <c r="C266" s="2">
        <f>IF(ISBLANK($B266),-1,IFERROR(IF($B266&gt;0.9,2,IF($B266&lt;0.3,1,0)),-1))</f>
        <v>-1</v>
      </c>
      <c r="D266" s="2"/>
      <c r="M266" s="26"/>
      <c r="N266" s="27"/>
      <c r="O266" s="28"/>
      <c r="P266" s="27"/>
      <c r="Q266" s="27"/>
      <c r="R266" s="27"/>
      <c r="S266" s="3"/>
      <c r="T266" s="29"/>
      <c r="U266" s="30"/>
      <c r="V266" s="15"/>
    </row>
    <row r="267" spans="1:22" ht="14.4" customHeight="1">
      <c r="A267" s="2">
        <f>ROW()-4</f>
        <v>263</v>
      </c>
      <c r="B267" s="23" t="e">
        <f>R267/L267</f>
        <v>#DIV/0!</v>
      </c>
      <c r="C267" s="2">
        <f>IF(ISBLANK($B267),-1,IFERROR(IF($B267&gt;0.9,2,IF($B267&lt;0.3,1,0)),-1))</f>
        <v>-1</v>
      </c>
      <c r="D267" s="2"/>
      <c r="M267" s="26"/>
      <c r="N267" s="27"/>
      <c r="O267" s="28"/>
      <c r="P267" s="27"/>
      <c r="Q267" s="27"/>
      <c r="R267" s="27"/>
      <c r="S267" s="3"/>
      <c r="T267" s="29"/>
      <c r="U267" s="30"/>
      <c r="V267" s="15"/>
    </row>
    <row r="268" spans="1:22" ht="14.4" customHeight="1">
      <c r="A268" s="2">
        <f>ROW()-4</f>
        <v>264</v>
      </c>
      <c r="B268" s="23" t="e">
        <f>R268/L268</f>
        <v>#DIV/0!</v>
      </c>
      <c r="C268" s="2">
        <f>IF(ISBLANK($B268),-1,IFERROR(IF($B268&gt;0.9,2,IF($B268&lt;0.3,1,0)),-1))</f>
        <v>-1</v>
      </c>
      <c r="D268" s="2"/>
      <c r="M268" s="26"/>
      <c r="N268" s="27"/>
      <c r="O268" s="28"/>
      <c r="P268" s="27"/>
      <c r="Q268" s="27"/>
      <c r="R268" s="27"/>
      <c r="S268" s="3"/>
      <c r="T268" s="29"/>
      <c r="U268" s="30"/>
      <c r="V268" s="15"/>
    </row>
    <row r="269" spans="1:22" ht="14.4" customHeight="1">
      <c r="A269" s="2">
        <f>ROW()-4</f>
        <v>265</v>
      </c>
      <c r="B269" s="23" t="e">
        <f>R269/L269</f>
        <v>#DIV/0!</v>
      </c>
      <c r="C269" s="2">
        <f>IF(ISBLANK($B269),-1,IFERROR(IF($B269&gt;0.9,2,IF($B269&lt;0.3,1,0)),-1))</f>
        <v>-1</v>
      </c>
      <c r="D269" s="2"/>
      <c r="M269" s="26"/>
      <c r="N269" s="27"/>
      <c r="O269" s="28"/>
      <c r="P269" s="27"/>
      <c r="Q269" s="27"/>
      <c r="R269" s="27"/>
      <c r="S269" s="3"/>
      <c r="T269" s="29"/>
      <c r="U269" s="30"/>
      <c r="V269" s="15"/>
    </row>
    <row r="270" spans="1:22" ht="14.4" customHeight="1">
      <c r="A270" s="2">
        <f>ROW()-4</f>
        <v>266</v>
      </c>
      <c r="B270" s="23" t="e">
        <f>R270/L270</f>
        <v>#DIV/0!</v>
      </c>
      <c r="C270" s="2">
        <f>IF(ISBLANK($B270),-1,IFERROR(IF($B270&gt;0.9,2,IF($B270&lt;0.3,1,0)),-1))</f>
        <v>-1</v>
      </c>
      <c r="D270" s="2"/>
      <c r="M270" s="26"/>
      <c r="N270" s="27"/>
      <c r="O270" s="28"/>
      <c r="P270" s="27"/>
      <c r="Q270" s="27"/>
      <c r="R270" s="27"/>
      <c r="S270" s="3"/>
      <c r="T270" s="29"/>
      <c r="U270" s="30"/>
      <c r="V270" s="15"/>
    </row>
    <row r="271" spans="1:22" ht="14.4" customHeight="1">
      <c r="A271" s="2">
        <f>ROW()-4</f>
        <v>267</v>
      </c>
      <c r="B271" s="23" t="e">
        <f>R271/L271</f>
        <v>#DIV/0!</v>
      </c>
      <c r="C271" s="2">
        <f>IF(ISBLANK($B271),-1,IFERROR(IF($B271&gt;0.9,2,IF($B271&lt;0.3,1,0)),-1))</f>
        <v>-1</v>
      </c>
      <c r="D271" s="2"/>
      <c r="M271" s="26"/>
      <c r="N271" s="27"/>
      <c r="O271" s="28"/>
      <c r="P271" s="27"/>
      <c r="Q271" s="27"/>
      <c r="R271" s="27"/>
      <c r="S271" s="3"/>
      <c r="T271" s="29"/>
      <c r="U271" s="30"/>
      <c r="V271" s="15"/>
    </row>
    <row r="272" spans="1:22" ht="14.4" customHeight="1">
      <c r="A272" s="2">
        <f>ROW()-4</f>
        <v>268</v>
      </c>
      <c r="B272" s="23" t="e">
        <f>R272/L272</f>
        <v>#DIV/0!</v>
      </c>
      <c r="C272" s="2">
        <f>IF(ISBLANK($B272),-1,IFERROR(IF($B272&gt;0.9,2,IF($B272&lt;0.3,1,0)),-1))</f>
        <v>-1</v>
      </c>
      <c r="D272" s="2"/>
      <c r="M272" s="26"/>
      <c r="N272" s="27"/>
      <c r="O272" s="28"/>
      <c r="P272" s="27"/>
      <c r="Q272" s="27"/>
      <c r="R272" s="27"/>
      <c r="S272" s="3"/>
      <c r="T272" s="29"/>
      <c r="U272" s="30"/>
      <c r="V272" s="15"/>
    </row>
    <row r="273" spans="1:22" ht="14.4" customHeight="1">
      <c r="A273" s="2">
        <f>ROW()-4</f>
        <v>269</v>
      </c>
      <c r="B273" s="23" t="e">
        <f>R273/L273</f>
        <v>#DIV/0!</v>
      </c>
      <c r="C273" s="2">
        <f>IF(ISBLANK($B273),-1,IFERROR(IF($B273&gt;0.9,2,IF($B273&lt;0.3,1,0)),-1))</f>
        <v>-1</v>
      </c>
      <c r="D273" s="2"/>
      <c r="M273" s="26"/>
      <c r="N273" s="27"/>
      <c r="O273" s="28"/>
      <c r="P273" s="27"/>
      <c r="Q273" s="27"/>
      <c r="R273" s="27"/>
      <c r="S273" s="3"/>
      <c r="T273" s="29"/>
      <c r="U273" s="30"/>
      <c r="V273" s="15"/>
    </row>
    <row r="274" spans="1:22" ht="14.4" customHeight="1">
      <c r="A274" s="2">
        <f>ROW()-4</f>
        <v>270</v>
      </c>
      <c r="B274" s="23" t="e">
        <f>R274/L274</f>
        <v>#DIV/0!</v>
      </c>
      <c r="C274" s="2">
        <f>IF(ISBLANK($B274),-1,IFERROR(IF($B274&gt;0.9,2,IF($B274&lt;0.3,1,0)),-1))</f>
        <v>-1</v>
      </c>
      <c r="D274" s="2"/>
      <c r="M274" s="26"/>
      <c r="N274" s="27"/>
      <c r="O274" s="28"/>
      <c r="P274" s="27"/>
      <c r="Q274" s="27"/>
      <c r="R274" s="27"/>
      <c r="S274" s="3"/>
      <c r="T274" s="29"/>
      <c r="U274" s="30"/>
      <c r="V274" s="15"/>
    </row>
    <row r="275" spans="1:22" ht="14.4" customHeight="1">
      <c r="A275" s="2">
        <f>ROW()-4</f>
        <v>271</v>
      </c>
      <c r="B275" s="23" t="e">
        <f>R275/L275</f>
        <v>#DIV/0!</v>
      </c>
      <c r="C275" s="2">
        <f>IF(ISBLANK($B275),-1,IFERROR(IF($B275&gt;0.9,2,IF($B275&lt;0.3,1,0)),-1))</f>
        <v>-1</v>
      </c>
      <c r="D275" s="2"/>
      <c r="M275" s="26"/>
      <c r="N275" s="27"/>
      <c r="O275" s="28"/>
      <c r="P275" s="27"/>
      <c r="Q275" s="27"/>
      <c r="R275" s="27"/>
      <c r="S275" s="3"/>
      <c r="T275" s="29"/>
      <c r="U275" s="30"/>
      <c r="V275" s="15"/>
    </row>
    <row r="276" spans="1:22" ht="14.4" customHeight="1">
      <c r="A276" s="2">
        <f>ROW()-4</f>
        <v>272</v>
      </c>
      <c r="B276" s="23" t="e">
        <f>R276/L276</f>
        <v>#DIV/0!</v>
      </c>
      <c r="C276" s="2">
        <f>IF(ISBLANK($B276),-1,IFERROR(IF($B276&gt;0.9,2,IF($B276&lt;0.3,1,0)),-1))</f>
        <v>-1</v>
      </c>
      <c r="D276" s="2"/>
      <c r="M276" s="26"/>
      <c r="N276" s="27"/>
      <c r="O276" s="28"/>
      <c r="P276" s="27"/>
      <c r="Q276" s="27"/>
      <c r="R276" s="27"/>
      <c r="S276" s="3"/>
      <c r="T276" s="29"/>
      <c r="U276" s="30"/>
      <c r="V276" s="15"/>
    </row>
    <row r="277" spans="1:22" ht="14.4" customHeight="1">
      <c r="A277" s="2">
        <f>ROW()-4</f>
        <v>273</v>
      </c>
      <c r="B277" s="23" t="e">
        <f>R277/L277</f>
        <v>#DIV/0!</v>
      </c>
      <c r="C277" s="2">
        <f>IF(ISBLANK($B277),-1,IFERROR(IF($B277&gt;0.9,2,IF($B277&lt;0.3,1,0)),-1))</f>
        <v>-1</v>
      </c>
      <c r="D277" s="2"/>
      <c r="M277" s="26"/>
      <c r="N277" s="27"/>
      <c r="O277" s="28"/>
      <c r="P277" s="27"/>
      <c r="Q277" s="27"/>
      <c r="R277" s="27"/>
      <c r="S277" s="3"/>
      <c r="T277" s="29"/>
      <c r="U277" s="30"/>
      <c r="V277" s="15"/>
    </row>
    <row r="278" spans="1:22" ht="14.4" customHeight="1">
      <c r="A278" s="2">
        <f>ROW()-4</f>
        <v>274</v>
      </c>
      <c r="B278" s="23" t="e">
        <f>R278/L278</f>
        <v>#DIV/0!</v>
      </c>
      <c r="C278" s="2">
        <f>IF(ISBLANK($B278),-1,IFERROR(IF($B278&gt;0.9,2,IF($B278&lt;0.3,1,0)),-1))</f>
        <v>-1</v>
      </c>
      <c r="D278" s="2"/>
      <c r="M278" s="26"/>
      <c r="N278" s="27"/>
      <c r="O278" s="28"/>
      <c r="P278" s="27"/>
      <c r="Q278" s="27"/>
      <c r="R278" s="27"/>
      <c r="S278" s="3"/>
      <c r="T278" s="29"/>
      <c r="U278" s="30"/>
      <c r="V278" s="15"/>
    </row>
    <row r="279" spans="1:22" ht="14.4" customHeight="1">
      <c r="A279" s="2">
        <f>ROW()-4</f>
        <v>275</v>
      </c>
      <c r="B279" s="23" t="e">
        <f>R279/L279</f>
        <v>#DIV/0!</v>
      </c>
      <c r="C279" s="2">
        <f>IF(ISBLANK($B279),-1,IFERROR(IF($B279&gt;0.9,2,IF($B279&lt;0.3,1,0)),-1))</f>
        <v>-1</v>
      </c>
      <c r="D279" s="2"/>
      <c r="M279" s="26"/>
      <c r="N279" s="27"/>
      <c r="O279" s="28"/>
      <c r="P279" s="27"/>
      <c r="Q279" s="27"/>
      <c r="R279" s="27"/>
      <c r="S279" s="3"/>
      <c r="T279" s="29"/>
      <c r="U279" s="30"/>
      <c r="V279" s="15"/>
    </row>
    <row r="280" spans="1:22" ht="14.4" customHeight="1">
      <c r="A280" s="2">
        <f>ROW()-4</f>
        <v>276</v>
      </c>
      <c r="B280" s="23" t="e">
        <f>R280/L280</f>
        <v>#DIV/0!</v>
      </c>
      <c r="C280" s="2">
        <f>IF(ISBLANK($B280),-1,IFERROR(IF($B280&gt;0.9,2,IF($B280&lt;0.3,1,0)),-1))</f>
        <v>-1</v>
      </c>
      <c r="D280" s="2"/>
      <c r="M280" s="26"/>
      <c r="N280" s="27"/>
      <c r="O280" s="28"/>
      <c r="P280" s="27"/>
      <c r="Q280" s="27"/>
      <c r="R280" s="27"/>
      <c r="S280" s="3"/>
      <c r="T280" s="29"/>
      <c r="U280" s="30"/>
      <c r="V280" s="15"/>
    </row>
    <row r="281" spans="1:22" ht="14.4" customHeight="1">
      <c r="A281" s="2">
        <f>ROW()-4</f>
        <v>277</v>
      </c>
      <c r="B281" s="23" t="e">
        <f>R281/L281</f>
        <v>#DIV/0!</v>
      </c>
      <c r="C281" s="2">
        <f>IF(ISBLANK($B281),-1,IFERROR(IF($B281&gt;0.9,2,IF($B281&lt;0.3,1,0)),-1))</f>
        <v>-1</v>
      </c>
      <c r="D281" s="2"/>
      <c r="M281" s="26"/>
      <c r="N281" s="27"/>
      <c r="O281" s="28"/>
      <c r="P281" s="27"/>
      <c r="Q281" s="27"/>
      <c r="R281" s="27"/>
      <c r="S281" s="3"/>
      <c r="T281" s="29"/>
      <c r="U281" s="30"/>
      <c r="V281" s="15"/>
    </row>
    <row r="282" spans="1:22" ht="14.4" customHeight="1">
      <c r="A282" s="2">
        <f>ROW()-4</f>
        <v>278</v>
      </c>
      <c r="B282" s="23" t="e">
        <f>R282/L282</f>
        <v>#DIV/0!</v>
      </c>
      <c r="C282" s="2">
        <f>IF(ISBLANK($B282),-1,IFERROR(IF($B282&gt;0.9,2,IF($B282&lt;0.3,1,0)),-1))</f>
        <v>-1</v>
      </c>
      <c r="D282" s="2"/>
      <c r="M282" s="26"/>
      <c r="N282" s="27"/>
      <c r="O282" s="28"/>
      <c r="P282" s="27"/>
      <c r="Q282" s="27"/>
      <c r="R282" s="27"/>
      <c r="S282" s="3"/>
      <c r="T282" s="29"/>
      <c r="U282" s="30"/>
      <c r="V282" s="15"/>
    </row>
    <row r="283" spans="1:22" ht="14.4" customHeight="1">
      <c r="A283" s="2">
        <f>ROW()-4</f>
        <v>279</v>
      </c>
      <c r="B283" s="23" t="e">
        <f>R283/L283</f>
        <v>#DIV/0!</v>
      </c>
      <c r="C283" s="2">
        <f>IF(ISBLANK($B283),-1,IFERROR(IF($B283&gt;0.9,2,IF($B283&lt;0.3,1,0)),-1))</f>
        <v>-1</v>
      </c>
      <c r="D283" s="2"/>
      <c r="M283" s="26"/>
      <c r="N283" s="27"/>
      <c r="O283" s="28"/>
      <c r="P283" s="27"/>
      <c r="Q283" s="27"/>
      <c r="R283" s="27"/>
      <c r="S283" s="3"/>
      <c r="T283" s="29"/>
      <c r="U283" s="30"/>
      <c r="V283" s="15"/>
    </row>
    <row r="284" spans="1:22" ht="14.4" customHeight="1">
      <c r="A284" s="2">
        <f>ROW()-4</f>
        <v>280</v>
      </c>
      <c r="B284" s="23" t="e">
        <f>R284/L284</f>
        <v>#DIV/0!</v>
      </c>
      <c r="C284" s="2">
        <f>IF(ISBLANK($B284),-1,IFERROR(IF($B284&gt;0.9,2,IF($B284&lt;0.3,1,0)),-1))</f>
        <v>-1</v>
      </c>
      <c r="D284" s="2"/>
      <c r="M284" s="26"/>
      <c r="N284" s="27"/>
      <c r="O284" s="28"/>
      <c r="P284" s="27"/>
      <c r="Q284" s="27"/>
      <c r="R284" s="27"/>
      <c r="S284" s="3"/>
      <c r="T284" s="29"/>
      <c r="U284" s="30"/>
      <c r="V284" s="15"/>
    </row>
    <row r="285" spans="1:22" ht="14.4" customHeight="1">
      <c r="A285" s="2">
        <f>ROW()-4</f>
        <v>281</v>
      </c>
      <c r="B285" s="23" t="e">
        <f>R285/L285</f>
        <v>#DIV/0!</v>
      </c>
      <c r="C285" s="2">
        <f>IF(ISBLANK($B285),-1,IFERROR(IF($B285&gt;0.9,2,IF($B285&lt;0.3,1,0)),-1))</f>
        <v>-1</v>
      </c>
      <c r="D285" s="2"/>
      <c r="M285" s="26"/>
      <c r="N285" s="27"/>
      <c r="O285" s="28"/>
      <c r="P285" s="27"/>
      <c r="Q285" s="27"/>
      <c r="R285" s="27"/>
      <c r="S285" s="3"/>
      <c r="T285" s="29"/>
      <c r="U285" s="30"/>
      <c r="V285" s="15"/>
    </row>
    <row r="286" spans="1:22" ht="14.4" customHeight="1">
      <c r="A286" s="2">
        <f>ROW()-4</f>
        <v>282</v>
      </c>
      <c r="B286" s="23" t="e">
        <f>R286/L286</f>
        <v>#DIV/0!</v>
      </c>
      <c r="C286" s="2">
        <f>IF(ISBLANK($B286),-1,IFERROR(IF($B286&gt;0.9,2,IF($B286&lt;0.3,1,0)),-1))</f>
        <v>-1</v>
      </c>
      <c r="D286" s="2"/>
      <c r="M286" s="26"/>
      <c r="N286" s="27"/>
      <c r="O286" s="28"/>
      <c r="P286" s="27"/>
      <c r="Q286" s="27"/>
      <c r="R286" s="27"/>
      <c r="S286" s="3"/>
      <c r="T286" s="29"/>
      <c r="U286" s="30"/>
      <c r="V286" s="15"/>
    </row>
    <row r="287" spans="1:22" ht="14.4" customHeight="1">
      <c r="A287" s="2">
        <f>ROW()-4</f>
        <v>283</v>
      </c>
      <c r="B287" s="23" t="e">
        <f>R287/L287</f>
        <v>#DIV/0!</v>
      </c>
      <c r="C287" s="2">
        <f>IF(ISBLANK($B287),-1,IFERROR(IF($B287&gt;0.9,2,IF($B287&lt;0.3,1,0)),-1))</f>
        <v>-1</v>
      </c>
      <c r="D287" s="2"/>
      <c r="M287" s="26"/>
      <c r="N287" s="27"/>
      <c r="O287" s="28"/>
      <c r="P287" s="27"/>
      <c r="Q287" s="27"/>
      <c r="R287" s="27"/>
      <c r="S287" s="3"/>
      <c r="T287" s="29"/>
      <c r="U287" s="30"/>
      <c r="V287" s="15"/>
    </row>
    <row r="288" spans="1:22" ht="14.4" customHeight="1">
      <c r="A288" s="2">
        <f>ROW()-4</f>
        <v>284</v>
      </c>
      <c r="B288" s="23" t="e">
        <f>R288/L288</f>
        <v>#DIV/0!</v>
      </c>
      <c r="C288" s="2">
        <f>IF(ISBLANK($B288),-1,IFERROR(IF($B288&gt;0.9,2,IF($B288&lt;0.3,1,0)),-1))</f>
        <v>-1</v>
      </c>
      <c r="D288" s="2"/>
      <c r="M288" s="26"/>
      <c r="N288" s="27"/>
      <c r="O288" s="28"/>
      <c r="P288" s="27"/>
      <c r="Q288" s="27"/>
      <c r="R288" s="27"/>
      <c r="S288" s="3"/>
      <c r="T288" s="29"/>
      <c r="U288" s="30"/>
      <c r="V288" s="15"/>
    </row>
    <row r="289" spans="1:22" ht="14.4" customHeight="1">
      <c r="A289" s="2">
        <f>ROW()-4</f>
        <v>285</v>
      </c>
      <c r="B289" s="23" t="e">
        <f>R289/L289</f>
        <v>#DIV/0!</v>
      </c>
      <c r="C289" s="2">
        <f>IF(ISBLANK($B289),-1,IFERROR(IF($B289&gt;0.9,2,IF($B289&lt;0.3,1,0)),-1))</f>
        <v>-1</v>
      </c>
      <c r="D289" s="2"/>
      <c r="M289" s="26"/>
      <c r="N289" s="27"/>
      <c r="O289" s="28"/>
      <c r="P289" s="27"/>
      <c r="Q289" s="27"/>
      <c r="R289" s="27"/>
      <c r="S289" s="3"/>
      <c r="T289" s="29"/>
      <c r="U289" s="30"/>
      <c r="V289" s="15"/>
    </row>
    <row r="290" spans="1:22" ht="14.4" customHeight="1">
      <c r="A290" s="2">
        <f>ROW()-4</f>
        <v>286</v>
      </c>
      <c r="B290" s="23" t="e">
        <f>R290/L290</f>
        <v>#DIV/0!</v>
      </c>
      <c r="C290" s="2">
        <f>IF(ISBLANK($B290),-1,IFERROR(IF($B290&gt;0.9,2,IF($B290&lt;0.3,1,0)),-1))</f>
        <v>-1</v>
      </c>
      <c r="D290" s="2"/>
      <c r="M290" s="26"/>
      <c r="N290" s="27"/>
      <c r="O290" s="28"/>
      <c r="P290" s="27"/>
      <c r="Q290" s="27"/>
      <c r="R290" s="27"/>
      <c r="S290" s="3"/>
      <c r="T290" s="29"/>
      <c r="U290" s="30"/>
      <c r="V290" s="15"/>
    </row>
    <row r="291" spans="1:22" ht="14.4" customHeight="1">
      <c r="A291" s="2">
        <f>ROW()-4</f>
        <v>287</v>
      </c>
      <c r="B291" s="23" t="e">
        <f>R291/L291</f>
        <v>#DIV/0!</v>
      </c>
      <c r="C291" s="2">
        <f>IF(ISBLANK($B291),-1,IFERROR(IF($B291&gt;0.9,2,IF($B291&lt;0.3,1,0)),-1))</f>
        <v>-1</v>
      </c>
      <c r="D291" s="2"/>
      <c r="M291" s="26"/>
      <c r="N291" s="27"/>
      <c r="O291" s="28"/>
      <c r="P291" s="27"/>
      <c r="Q291" s="27"/>
      <c r="R291" s="27"/>
      <c r="S291" s="3"/>
      <c r="T291" s="29"/>
      <c r="U291" s="30"/>
      <c r="V291" s="15"/>
    </row>
    <row r="292" spans="1:22" ht="14.4" customHeight="1">
      <c r="A292" s="2">
        <f>ROW()-4</f>
        <v>288</v>
      </c>
      <c r="B292" s="23" t="e">
        <f>R292/L292</f>
        <v>#DIV/0!</v>
      </c>
      <c r="C292" s="2">
        <f>IF(ISBLANK($B292),-1,IFERROR(IF($B292&gt;0.9,2,IF($B292&lt;0.3,1,0)),-1))</f>
        <v>-1</v>
      </c>
      <c r="D292" s="2"/>
      <c r="M292" s="26"/>
      <c r="N292" s="27"/>
      <c r="O292" s="28"/>
      <c r="P292" s="27"/>
      <c r="Q292" s="27"/>
      <c r="R292" s="27"/>
      <c r="S292" s="3"/>
      <c r="T292" s="29"/>
      <c r="U292" s="30"/>
      <c r="V292" s="15"/>
    </row>
    <row r="293" spans="1:22" ht="14.4" customHeight="1">
      <c r="A293" s="2">
        <f>ROW()-4</f>
        <v>289</v>
      </c>
      <c r="B293" s="23" t="e">
        <f>R293/L293</f>
        <v>#DIV/0!</v>
      </c>
      <c r="C293" s="2">
        <f>IF(ISBLANK($B293),-1,IFERROR(IF($B293&gt;0.9,2,IF($B293&lt;0.3,1,0)),-1))</f>
        <v>-1</v>
      </c>
      <c r="D293" s="2"/>
      <c r="M293" s="26"/>
      <c r="N293" s="27"/>
      <c r="O293" s="28"/>
      <c r="P293" s="27"/>
      <c r="Q293" s="27"/>
      <c r="R293" s="27"/>
      <c r="S293" s="3"/>
      <c r="T293" s="29"/>
      <c r="U293" s="30"/>
      <c r="V293" s="15"/>
    </row>
    <row r="294" spans="1:22" ht="14.4" customHeight="1">
      <c r="A294" s="2">
        <f>ROW()-4</f>
        <v>290</v>
      </c>
      <c r="B294" s="23" t="e">
        <f>R294/L294</f>
        <v>#DIV/0!</v>
      </c>
      <c r="C294" s="2">
        <f>IF(ISBLANK($B294),-1,IFERROR(IF($B294&gt;0.9,2,IF($B294&lt;0.3,1,0)),-1))</f>
        <v>-1</v>
      </c>
      <c r="D294" s="2"/>
      <c r="M294" s="26"/>
      <c r="N294" s="27"/>
      <c r="O294" s="28"/>
      <c r="P294" s="27"/>
      <c r="Q294" s="27"/>
      <c r="R294" s="27"/>
      <c r="S294" s="3"/>
      <c r="T294" s="29"/>
      <c r="U294" s="30"/>
      <c r="V294" s="15"/>
    </row>
    <row r="295" spans="1:22" ht="14.4" customHeight="1">
      <c r="A295" s="2">
        <f>ROW()-4</f>
        <v>291</v>
      </c>
      <c r="B295" s="23" t="e">
        <f>R295/L295</f>
        <v>#DIV/0!</v>
      </c>
      <c r="C295" s="2">
        <f>IF(ISBLANK($B295),-1,IFERROR(IF($B295&gt;0.9,2,IF($B295&lt;0.3,1,0)),-1))</f>
        <v>-1</v>
      </c>
      <c r="D295" s="2"/>
      <c r="M295" s="26"/>
      <c r="N295" s="27"/>
      <c r="O295" s="28"/>
      <c r="P295" s="27"/>
      <c r="Q295" s="27"/>
      <c r="R295" s="27"/>
      <c r="S295" s="3"/>
      <c r="T295" s="29"/>
      <c r="U295" s="30"/>
      <c r="V295" s="15"/>
    </row>
    <row r="296" spans="1:22" ht="14.4" customHeight="1">
      <c r="A296" s="2">
        <f>ROW()-4</f>
        <v>292</v>
      </c>
      <c r="B296" s="23" t="e">
        <f>R296/L296</f>
        <v>#DIV/0!</v>
      </c>
      <c r="C296" s="2">
        <f>IF(ISBLANK($B296),-1,IFERROR(IF($B296&gt;0.9,2,IF($B296&lt;0.3,1,0)),-1))</f>
        <v>-1</v>
      </c>
      <c r="D296" s="2"/>
      <c r="M296" s="26"/>
      <c r="N296" s="27"/>
      <c r="O296" s="28"/>
      <c r="P296" s="27"/>
      <c r="Q296" s="27"/>
      <c r="R296" s="27"/>
      <c r="S296" s="3"/>
      <c r="T296" s="29"/>
      <c r="U296" s="30"/>
      <c r="V296" s="15"/>
    </row>
    <row r="297" spans="1:22" ht="14.4" customHeight="1">
      <c r="A297" s="2">
        <f>ROW()-4</f>
        <v>293</v>
      </c>
      <c r="B297" s="23" t="e">
        <f>R297/L297</f>
        <v>#DIV/0!</v>
      </c>
      <c r="C297" s="2">
        <f>IF(ISBLANK($B297),-1,IFERROR(IF($B297&gt;0.9,2,IF($B297&lt;0.3,1,0)),-1))</f>
        <v>-1</v>
      </c>
      <c r="D297" s="2"/>
      <c r="M297" s="32"/>
      <c r="N297" s="27"/>
      <c r="O297" s="33"/>
      <c r="P297" s="33"/>
      <c r="Q297" s="34"/>
      <c r="R297" s="33"/>
      <c r="S297" s="3"/>
      <c r="T297" s="29"/>
      <c r="U297" s="30"/>
      <c r="V297" s="15"/>
    </row>
    <row r="298" spans="1:22" ht="14.4" customHeight="1">
      <c r="A298" s="2">
        <f>ROW()-4</f>
        <v>294</v>
      </c>
      <c r="B298" s="23" t="e">
        <f>R298/L298</f>
        <v>#DIV/0!</v>
      </c>
      <c r="C298" s="2">
        <f>IF(ISBLANK($B298),-1,IFERROR(IF($B298&gt;0.9,2,IF($B298&lt;0.3,1,0)),-1))</f>
        <v>-1</v>
      </c>
      <c r="D298" s="2"/>
      <c r="M298" s="26"/>
      <c r="N298" s="27"/>
      <c r="O298" s="28"/>
      <c r="P298" s="27"/>
      <c r="Q298" s="27"/>
      <c r="R298" s="27"/>
      <c r="S298" s="3"/>
      <c r="T298" s="29"/>
      <c r="U298" s="30"/>
      <c r="V298" s="15"/>
    </row>
    <row r="299" spans="1:22" ht="14.4" customHeight="1">
      <c r="A299" s="2">
        <f>ROW()-4</f>
        <v>295</v>
      </c>
      <c r="B299" s="23" t="e">
        <f>R299/L299</f>
        <v>#DIV/0!</v>
      </c>
      <c r="C299" s="2">
        <f>IF(ISBLANK($B299),-1,IFERROR(IF($B299&gt;0.9,2,IF($B299&lt;0.3,1,0)),-1))</f>
        <v>-1</v>
      </c>
      <c r="D299" s="2"/>
    </row>
    <row r="300" spans="1:22" ht="14.4" customHeight="1">
      <c r="A300" s="2">
        <f>ROW()-4</f>
        <v>296</v>
      </c>
      <c r="B300" s="23" t="e">
        <f>R300/L300</f>
        <v>#DIV/0!</v>
      </c>
      <c r="C300" s="2">
        <f>IF(ISBLANK($B300),-1,IFERROR(IF($B300&gt;0.9,2,IF($B300&lt;0.3,1,0)),-1))</f>
        <v>-1</v>
      </c>
      <c r="D300" s="2"/>
    </row>
    <row r="301" spans="1:22" ht="14.4" customHeight="1">
      <c r="A301" s="2">
        <f>ROW()-4</f>
        <v>297</v>
      </c>
      <c r="B301" s="23" t="e">
        <f>R301/L301</f>
        <v>#DIV/0!</v>
      </c>
      <c r="C301" s="2">
        <f>IF(ISBLANK($B301),-1,IFERROR(IF($B301&gt;0.9,2,IF($B301&lt;0.3,1,0)),-1))</f>
        <v>-1</v>
      </c>
      <c r="D301" s="2"/>
    </row>
    <row r="302" spans="1:22" ht="14.4" customHeight="1">
      <c r="A302" s="2">
        <f>ROW()-4</f>
        <v>298</v>
      </c>
      <c r="B302" s="23" t="e">
        <f>R302/L302</f>
        <v>#DIV/0!</v>
      </c>
      <c r="C302" s="2">
        <f>IF(ISBLANK($B302),-1,IFERROR(IF($B302&gt;0.9,2,IF($B302&lt;0.3,1,0)),-1))</f>
        <v>-1</v>
      </c>
      <c r="D302" s="2"/>
    </row>
    <row r="303" spans="1:22" ht="14.4" customHeight="1">
      <c r="A303" s="2">
        <f>ROW()-4</f>
        <v>299</v>
      </c>
      <c r="B303" s="23" t="e">
        <f>R303/L303</f>
        <v>#DIV/0!</v>
      </c>
      <c r="C303" s="2">
        <f>IF(ISBLANK($B303),-1,IFERROR(IF($B303&gt;0.9,2,IF($B303&lt;0.3,1,0)),-1))</f>
        <v>-1</v>
      </c>
      <c r="D303" s="2"/>
    </row>
    <row r="304" spans="1:22" ht="14.4" customHeight="1">
      <c r="A304" s="2">
        <f>ROW()-4</f>
        <v>300</v>
      </c>
      <c r="B304" s="23" t="e">
        <f>R304/L304</f>
        <v>#DIV/0!</v>
      </c>
      <c r="C304" s="2">
        <f>IF(ISBLANK($B304),-1,IFERROR(IF($B304&gt;0.9,2,IF($B304&lt;0.3,1,0)),-1))</f>
        <v>-1</v>
      </c>
      <c r="D304" s="2"/>
    </row>
    <row r="305" spans="1:4" ht="14.4" customHeight="1">
      <c r="A305" s="2">
        <f>ROW()-4</f>
        <v>301</v>
      </c>
      <c r="B305" s="23" t="e">
        <f>R305/L305</f>
        <v>#DIV/0!</v>
      </c>
      <c r="C305" s="2">
        <f>IF(ISBLANK($B305),-1,IFERROR(IF($B305&gt;0.9,2,IF($B305&lt;0.3,1,0)),-1))</f>
        <v>-1</v>
      </c>
      <c r="D305" s="2"/>
    </row>
    <row r="306" spans="1:4" ht="14.4" customHeight="1">
      <c r="A306" s="2">
        <f>ROW()-4</f>
        <v>302</v>
      </c>
      <c r="B306" s="23" t="e">
        <f>R306/L306</f>
        <v>#DIV/0!</v>
      </c>
      <c r="C306" s="2">
        <f>IF(ISBLANK($B306),-1,IFERROR(IF($B306&gt;0.9,2,IF($B306&lt;0.3,1,0)),-1))</f>
        <v>-1</v>
      </c>
      <c r="D306" s="2"/>
    </row>
    <row r="307" spans="1:4" ht="14.4" customHeight="1">
      <c r="A307" s="2">
        <f>ROW()-4</f>
        <v>303</v>
      </c>
      <c r="B307" s="23" t="e">
        <f>R307/L307</f>
        <v>#DIV/0!</v>
      </c>
      <c r="C307" s="2">
        <f>IF(ISBLANK($B307),-1,IFERROR(IF($B307&gt;0.9,2,IF($B307&lt;0.3,1,0)),-1))</f>
        <v>-1</v>
      </c>
      <c r="D307" s="2"/>
    </row>
    <row r="308" spans="1:4" ht="14.4" customHeight="1">
      <c r="A308" s="2">
        <f>ROW()-4</f>
        <v>304</v>
      </c>
      <c r="B308" s="23" t="e">
        <f>R308/L308</f>
        <v>#DIV/0!</v>
      </c>
      <c r="C308" s="2">
        <f>IF(ISBLANK($B308),-1,IFERROR(IF($B308&gt;0.9,2,IF($B308&lt;0.3,1,0)),-1))</f>
        <v>-1</v>
      </c>
      <c r="D308" s="2"/>
    </row>
    <row r="309" spans="1:4" ht="14.4" customHeight="1">
      <c r="A309" s="2">
        <f>ROW()-4</f>
        <v>305</v>
      </c>
      <c r="B309" s="23" t="e">
        <f>R309/L309</f>
        <v>#DIV/0!</v>
      </c>
      <c r="C309" s="2">
        <f>IF(ISBLANK($B309),-1,IFERROR(IF($B309&gt;0.9,2,IF($B309&lt;0.3,1,0)),-1))</f>
        <v>-1</v>
      </c>
      <c r="D309" s="2"/>
    </row>
    <row r="310" spans="1:4" ht="14.4" customHeight="1">
      <c r="A310" s="2">
        <f>ROW()-4</f>
        <v>306</v>
      </c>
      <c r="B310" s="23" t="e">
        <f>R310/L310</f>
        <v>#DIV/0!</v>
      </c>
      <c r="C310" s="2">
        <f>IF(ISBLANK($B310),-1,IFERROR(IF($B310&gt;0.9,2,IF($B310&lt;0.3,1,0)),-1))</f>
        <v>-1</v>
      </c>
      <c r="D310" s="2"/>
    </row>
    <row r="311" spans="1:4" ht="14.4" customHeight="1">
      <c r="A311" s="2">
        <f>ROW()-4</f>
        <v>307</v>
      </c>
      <c r="B311" s="23" t="e">
        <f>R311/L311</f>
        <v>#DIV/0!</v>
      </c>
      <c r="C311" s="2">
        <f>IF(ISBLANK($B311),-1,IFERROR(IF($B311&gt;0.9,2,IF($B311&lt;0.3,1,0)),-1))</f>
        <v>-1</v>
      </c>
      <c r="D311" s="2"/>
    </row>
    <row r="312" spans="1:4" ht="14.4" customHeight="1">
      <c r="A312" s="2">
        <f>ROW()-4</f>
        <v>308</v>
      </c>
      <c r="B312" s="23" t="e">
        <f>R312/L312</f>
        <v>#DIV/0!</v>
      </c>
      <c r="C312" s="2">
        <f>IF(ISBLANK($B312),-1,IFERROR(IF($B312&gt;0.9,2,IF($B312&lt;0.3,1,0)),-1))</f>
        <v>-1</v>
      </c>
      <c r="D312" s="2"/>
    </row>
    <row r="313" spans="1:4" ht="14.4" customHeight="1">
      <c r="A313" s="2">
        <f>ROW()-4</f>
        <v>309</v>
      </c>
      <c r="B313" s="23" t="e">
        <f>R313/L313</f>
        <v>#DIV/0!</v>
      </c>
      <c r="C313" s="2">
        <f>IF(ISBLANK($B313),-1,IFERROR(IF($B313&gt;0.9,2,IF($B313&lt;0.3,1,0)),-1))</f>
        <v>-1</v>
      </c>
      <c r="D313" s="2"/>
    </row>
    <row r="314" spans="1:4" ht="14.4" customHeight="1">
      <c r="A314" s="2">
        <f>ROW()-4</f>
        <v>310</v>
      </c>
      <c r="B314" s="23" t="e">
        <f>R314/L314</f>
        <v>#DIV/0!</v>
      </c>
      <c r="C314" s="2">
        <f>IF(ISBLANK($B314),-1,IFERROR(IF($B314&gt;0.9,2,IF($B314&lt;0.3,1,0)),-1))</f>
        <v>-1</v>
      </c>
      <c r="D314" s="2"/>
    </row>
    <row r="315" spans="1:4" ht="14.4" customHeight="1">
      <c r="A315" s="2">
        <f>ROW()-4</f>
        <v>311</v>
      </c>
      <c r="B315" s="23" t="e">
        <f>R315/L315</f>
        <v>#DIV/0!</v>
      </c>
      <c r="C315" s="2">
        <f>IF(ISBLANK($B315),-1,IFERROR(IF($B315&gt;0.9,2,IF($B315&lt;0.3,1,0)),-1))</f>
        <v>-1</v>
      </c>
      <c r="D315" s="2"/>
    </row>
    <row r="316" spans="1:4" ht="14.4" customHeight="1">
      <c r="A316" s="2">
        <f>ROW()-4</f>
        <v>312</v>
      </c>
      <c r="B316" s="23" t="e">
        <f>R316/L316</f>
        <v>#DIV/0!</v>
      </c>
      <c r="C316" s="2">
        <f>IF(ISBLANK($B316),-1,IFERROR(IF($B316&gt;0.9,2,IF($B316&lt;0.3,1,0)),-1))</f>
        <v>-1</v>
      </c>
      <c r="D316" s="2"/>
    </row>
    <row r="317" spans="1:4" ht="14.4" customHeight="1">
      <c r="A317" s="2">
        <f>ROW()-4</f>
        <v>313</v>
      </c>
      <c r="B317" s="23" t="e">
        <f>R317/L317</f>
        <v>#DIV/0!</v>
      </c>
      <c r="C317" s="2">
        <f>IF(ISBLANK($B317),-1,IFERROR(IF($B317&gt;0.9,2,IF($B317&lt;0.3,1,0)),-1))</f>
        <v>-1</v>
      </c>
      <c r="D317" s="2"/>
    </row>
    <row r="318" spans="1:4" ht="14.4" customHeight="1">
      <c r="A318" s="2">
        <f>ROW()-4</f>
        <v>314</v>
      </c>
      <c r="B318" s="23" t="e">
        <f>R318/L318</f>
        <v>#DIV/0!</v>
      </c>
      <c r="C318" s="2">
        <f>IF(ISBLANK($B318),-1,IFERROR(IF($B318&gt;0.9,2,IF($B318&lt;0.3,1,0)),-1))</f>
        <v>-1</v>
      </c>
      <c r="D318" s="2"/>
    </row>
    <row r="319" spans="1:4" ht="14.4" customHeight="1">
      <c r="A319" s="2">
        <f>ROW()-4</f>
        <v>315</v>
      </c>
      <c r="B319" s="23" t="e">
        <f>R319/L319</f>
        <v>#DIV/0!</v>
      </c>
      <c r="C319" s="2">
        <f>IF(ISBLANK($B319),-1,IFERROR(IF($B319&gt;0.9,2,IF($B319&lt;0.3,1,0)),-1))</f>
        <v>-1</v>
      </c>
      <c r="D319" s="2"/>
    </row>
    <row r="320" spans="1:4" ht="14.4" customHeight="1">
      <c r="A320" s="2">
        <f>ROW()-4</f>
        <v>316</v>
      </c>
      <c r="B320" s="23" t="e">
        <f>R320/L320</f>
        <v>#DIV/0!</v>
      </c>
      <c r="C320" s="2">
        <f>IF(ISBLANK($B320),-1,IFERROR(IF($B320&gt;0.9,2,IF($B320&lt;0.3,1,0)),-1))</f>
        <v>-1</v>
      </c>
      <c r="D320" s="2"/>
    </row>
    <row r="321" spans="1:4" ht="14.4" customHeight="1">
      <c r="A321" s="2">
        <f>ROW()-4</f>
        <v>317</v>
      </c>
      <c r="B321" s="23" t="e">
        <f>R321/L321</f>
        <v>#DIV/0!</v>
      </c>
      <c r="C321" s="2">
        <f>IF(ISBLANK($B321),-1,IFERROR(IF($B321&gt;0.9,2,IF($B321&lt;0.3,1,0)),-1))</f>
        <v>-1</v>
      </c>
      <c r="D321" s="2"/>
    </row>
    <row r="322" spans="1:4" ht="14.4" customHeight="1">
      <c r="A322" s="2">
        <f>ROW()-4</f>
        <v>318</v>
      </c>
      <c r="B322" s="23" t="e">
        <f>R322/L322</f>
        <v>#DIV/0!</v>
      </c>
      <c r="C322" s="2">
        <f>IF(ISBLANK($B322),-1,IFERROR(IF($B322&gt;0.9,2,IF($B322&lt;0.3,1,0)),-1))</f>
        <v>-1</v>
      </c>
      <c r="D322" s="2"/>
    </row>
    <row r="323" spans="1:4" ht="14.4" customHeight="1">
      <c r="A323" s="2">
        <f>ROW()-4</f>
        <v>319</v>
      </c>
      <c r="B323" s="23" t="e">
        <f>R323/L323</f>
        <v>#DIV/0!</v>
      </c>
      <c r="C323" s="2">
        <f>IF(ISBLANK($B323),-1,IFERROR(IF($B323&gt;0.9,2,IF($B323&lt;0.3,1,0)),-1))</f>
        <v>-1</v>
      </c>
      <c r="D323" s="2"/>
    </row>
    <row r="324" spans="1:4" ht="14.4" customHeight="1">
      <c r="A324" s="2">
        <f>ROW()-4</f>
        <v>320</v>
      </c>
      <c r="B324" s="23" t="e">
        <f>R324/L324</f>
        <v>#DIV/0!</v>
      </c>
      <c r="C324" s="2">
        <f>IF(ISBLANK($B324),-1,IFERROR(IF($B324&gt;0.9,2,IF($B324&lt;0.3,1,0)),-1))</f>
        <v>-1</v>
      </c>
      <c r="D324" s="2"/>
    </row>
    <row r="325" spans="1:4" ht="14.4" customHeight="1">
      <c r="A325" s="2">
        <f>ROW()-4</f>
        <v>321</v>
      </c>
      <c r="B325" s="23" t="e">
        <f>R325/L325</f>
        <v>#DIV/0!</v>
      </c>
      <c r="C325" s="2">
        <f>IF(ISBLANK($B325),-1,IFERROR(IF($B325&gt;0.9,2,IF($B325&lt;0.3,1,0)),-1))</f>
        <v>-1</v>
      </c>
      <c r="D325" s="2"/>
    </row>
    <row r="326" spans="1:4" ht="14.4" customHeight="1">
      <c r="A326" s="2">
        <f>ROW()-4</f>
        <v>322</v>
      </c>
      <c r="B326" s="23" t="e">
        <f>R326/L326</f>
        <v>#DIV/0!</v>
      </c>
      <c r="C326" s="2">
        <f>IF(ISBLANK($B326),-1,IFERROR(IF($B326&gt;0.9,2,IF($B326&lt;0.3,1,0)),-1))</f>
        <v>-1</v>
      </c>
      <c r="D326" s="2"/>
    </row>
    <row r="327" spans="1:4" ht="14.4" customHeight="1">
      <c r="A327" s="2">
        <f>ROW()-4</f>
        <v>323</v>
      </c>
      <c r="B327" s="23" t="e">
        <f>R327/L327</f>
        <v>#DIV/0!</v>
      </c>
      <c r="C327" s="2">
        <f>IF(ISBLANK($B327),-1,IFERROR(IF($B327&gt;0.9,2,IF($B327&lt;0.3,1,0)),-1))</f>
        <v>-1</v>
      </c>
      <c r="D327" s="2"/>
    </row>
    <row r="328" spans="1:4" ht="14.4" customHeight="1">
      <c r="A328" s="2">
        <f>ROW()-4</f>
        <v>324</v>
      </c>
      <c r="B328" s="23" t="e">
        <f>R328/L328</f>
        <v>#DIV/0!</v>
      </c>
      <c r="C328" s="2">
        <f>IF(ISBLANK($B328),-1,IFERROR(IF($B328&gt;0.9,2,IF($B328&lt;0.3,1,0)),-1))</f>
        <v>-1</v>
      </c>
      <c r="D328" s="2"/>
    </row>
    <row r="329" spans="1:4" ht="14.4" customHeight="1">
      <c r="A329" s="2">
        <f>ROW()-4</f>
        <v>325</v>
      </c>
      <c r="B329" s="23" t="e">
        <f>R329/L329</f>
        <v>#DIV/0!</v>
      </c>
      <c r="C329" s="2">
        <f>IF(ISBLANK($B329),-1,IFERROR(IF($B329&gt;0.9,2,IF($B329&lt;0.3,1,0)),-1))</f>
        <v>-1</v>
      </c>
      <c r="D329" s="2"/>
    </row>
    <row r="330" spans="1:4" ht="14.4" customHeight="1">
      <c r="A330" s="2">
        <f>ROW()-4</f>
        <v>326</v>
      </c>
      <c r="B330" s="23" t="e">
        <f>R330/L330</f>
        <v>#DIV/0!</v>
      </c>
      <c r="C330" s="2">
        <f>IF(ISBLANK($B330),-1,IFERROR(IF($B330&gt;0.9,2,IF($B330&lt;0.3,1,0)),-1))</f>
        <v>-1</v>
      </c>
      <c r="D330" s="2"/>
    </row>
    <row r="331" spans="1:4" ht="14.4" customHeight="1">
      <c r="A331" s="2">
        <f>ROW()-4</f>
        <v>327</v>
      </c>
      <c r="B331" s="23" t="e">
        <f>R331/L331</f>
        <v>#DIV/0!</v>
      </c>
      <c r="C331" s="2">
        <f>IF(ISBLANK($B331),-1,IFERROR(IF($B331&gt;0.9,2,IF($B331&lt;0.3,1,0)),-1))</f>
        <v>-1</v>
      </c>
      <c r="D331" s="2"/>
    </row>
    <row r="332" spans="1:4" ht="14.4" customHeight="1">
      <c r="A332" s="2">
        <f>ROW()-4</f>
        <v>328</v>
      </c>
      <c r="B332" s="23" t="e">
        <f>R332/L332</f>
        <v>#DIV/0!</v>
      </c>
      <c r="C332" s="2">
        <f>IF(ISBLANK($B332),-1,IFERROR(IF($B332&gt;0.9,2,IF($B332&lt;0.3,1,0)),-1))</f>
        <v>-1</v>
      </c>
      <c r="D332" s="2"/>
    </row>
    <row r="333" spans="1:4" ht="14.4" customHeight="1">
      <c r="A333" s="2">
        <f>ROW()-4</f>
        <v>329</v>
      </c>
      <c r="B333" s="23" t="e">
        <f>R333/L333</f>
        <v>#DIV/0!</v>
      </c>
      <c r="C333" s="2">
        <f>IF(ISBLANK($B333),-1,IFERROR(IF($B333&gt;0.9,2,IF($B333&lt;0.3,1,0)),-1))</f>
        <v>-1</v>
      </c>
      <c r="D333" s="2"/>
    </row>
    <row r="334" spans="1:4" ht="14.4" customHeight="1">
      <c r="A334" s="2">
        <f>ROW()-4</f>
        <v>330</v>
      </c>
      <c r="B334" s="23" t="e">
        <f>R334/L334</f>
        <v>#DIV/0!</v>
      </c>
      <c r="C334" s="2">
        <f>IF(ISBLANK($B334),-1,IFERROR(IF($B334&gt;0.9,2,IF($B334&lt;0.3,1,0)),-1))</f>
        <v>-1</v>
      </c>
      <c r="D334" s="2"/>
    </row>
    <row r="335" spans="1:4" ht="14.4" customHeight="1">
      <c r="A335" s="2">
        <f>ROW()-4</f>
        <v>331</v>
      </c>
      <c r="B335" s="23" t="e">
        <f>R335/L335</f>
        <v>#DIV/0!</v>
      </c>
      <c r="C335" s="2">
        <f>IF(ISBLANK($B335),-1,IFERROR(IF($B335&gt;0.9,2,IF($B335&lt;0.3,1,0)),-1))</f>
        <v>-1</v>
      </c>
      <c r="D335" s="2"/>
    </row>
    <row r="336" spans="1:4" ht="14.4" customHeight="1">
      <c r="A336" s="2">
        <f>ROW()-4</f>
        <v>332</v>
      </c>
      <c r="B336" s="23" t="e">
        <f>R336/L336</f>
        <v>#DIV/0!</v>
      </c>
      <c r="C336" s="2">
        <f>IF(ISBLANK($B336),-1,IFERROR(IF($B336&gt;0.9,2,IF($B336&lt;0.3,1,0)),-1))</f>
        <v>-1</v>
      </c>
      <c r="D336" s="2"/>
    </row>
    <row r="337" spans="1:4" ht="14.4" customHeight="1">
      <c r="A337" s="2">
        <f>ROW()-4</f>
        <v>333</v>
      </c>
      <c r="B337" s="23" t="e">
        <f>R337/L337</f>
        <v>#DIV/0!</v>
      </c>
      <c r="C337" s="2">
        <f>IF(ISBLANK($B337),-1,IFERROR(IF($B337&gt;0.9,2,IF($B337&lt;0.3,1,0)),-1))</f>
        <v>-1</v>
      </c>
      <c r="D337" s="2"/>
    </row>
    <row r="338" spans="1:4" ht="14.4" customHeight="1">
      <c r="A338" s="2">
        <f>ROW()-4</f>
        <v>334</v>
      </c>
      <c r="B338" s="23" t="e">
        <f>R338/L338</f>
        <v>#DIV/0!</v>
      </c>
      <c r="C338" s="2">
        <f>IF(ISBLANK($B338),-1,IFERROR(IF($B338&gt;0.9,2,IF($B338&lt;0.3,1,0)),-1))</f>
        <v>-1</v>
      </c>
      <c r="D338" s="2"/>
    </row>
    <row r="339" spans="1:4" ht="14.4" customHeight="1">
      <c r="A339" s="2">
        <f>ROW()-4</f>
        <v>335</v>
      </c>
      <c r="B339" s="23" t="e">
        <f>R339/L339</f>
        <v>#DIV/0!</v>
      </c>
      <c r="C339" s="2">
        <f>IF(ISBLANK($B339),-1,IFERROR(IF($B339&gt;0.9,2,IF($B339&lt;0.3,1,0)),-1))</f>
        <v>-1</v>
      </c>
      <c r="D339" s="2"/>
    </row>
    <row r="340" spans="1:4" ht="14.4" customHeight="1">
      <c r="A340" s="2">
        <f>ROW()-4</f>
        <v>336</v>
      </c>
      <c r="B340" s="23" t="e">
        <f>R340/L340</f>
        <v>#DIV/0!</v>
      </c>
      <c r="C340" s="2">
        <f>IF(ISBLANK($B340),-1,IFERROR(IF($B340&gt;0.9,2,IF($B340&lt;0.3,1,0)),-1))</f>
        <v>-1</v>
      </c>
      <c r="D340" s="2"/>
    </row>
    <row r="341" spans="1:4" ht="14.4" customHeight="1">
      <c r="A341" s="2">
        <f>ROW()-4</f>
        <v>337</v>
      </c>
      <c r="B341" s="23" t="e">
        <f>R341/L341</f>
        <v>#DIV/0!</v>
      </c>
      <c r="C341" s="2">
        <f>IF(ISBLANK($B341),-1,IFERROR(IF($B341&gt;0.9,2,IF($B341&lt;0.3,1,0)),-1))</f>
        <v>-1</v>
      </c>
      <c r="D341" s="2"/>
    </row>
    <row r="342" spans="1:4" ht="14.4" customHeight="1">
      <c r="A342" s="2">
        <f>ROW()-4</f>
        <v>338</v>
      </c>
      <c r="B342" s="23" t="e">
        <f>R342/L342</f>
        <v>#DIV/0!</v>
      </c>
      <c r="C342" s="2">
        <f>IF(ISBLANK($B342),-1,IFERROR(IF($B342&gt;0.9,2,IF($B342&lt;0.3,1,0)),-1))</f>
        <v>-1</v>
      </c>
      <c r="D342" s="2"/>
    </row>
    <row r="343" spans="1:4" ht="14.4" customHeight="1">
      <c r="A343" s="2">
        <f>ROW()-4</f>
        <v>339</v>
      </c>
      <c r="B343" s="23" t="e">
        <f>R343/L343</f>
        <v>#DIV/0!</v>
      </c>
      <c r="C343" s="2">
        <f>IF(ISBLANK($B343),-1,IFERROR(IF($B343&gt;0.9,2,IF($B343&lt;0.3,1,0)),-1))</f>
        <v>-1</v>
      </c>
      <c r="D343" s="2"/>
    </row>
    <row r="344" spans="1:4" ht="14.4" customHeight="1">
      <c r="A344" s="2">
        <f>ROW()-4</f>
        <v>340</v>
      </c>
      <c r="B344" s="23" t="e">
        <f>R344/L344</f>
        <v>#DIV/0!</v>
      </c>
      <c r="C344" s="2">
        <f>IF(ISBLANK($B344),-1,IFERROR(IF($B344&gt;0.9,2,IF($B344&lt;0.3,1,0)),-1))</f>
        <v>-1</v>
      </c>
      <c r="D344" s="2"/>
    </row>
    <row r="345" spans="1:4" ht="14.4" customHeight="1">
      <c r="A345" s="2">
        <f>ROW()-4</f>
        <v>341</v>
      </c>
      <c r="B345" s="23" t="e">
        <f>R345/L345</f>
        <v>#DIV/0!</v>
      </c>
      <c r="C345" s="2">
        <f>IF(ISBLANK($B345),-1,IFERROR(IF($B345&gt;0.9,2,IF($B345&lt;0.3,1,0)),-1))</f>
        <v>-1</v>
      </c>
      <c r="D345" s="2"/>
    </row>
    <row r="346" spans="1:4" ht="14.4" customHeight="1">
      <c r="A346" s="2">
        <f>ROW()-4</f>
        <v>342</v>
      </c>
      <c r="B346" s="23" t="e">
        <f>R346/L346</f>
        <v>#DIV/0!</v>
      </c>
      <c r="C346" s="2">
        <f>IF(ISBLANK($B346),-1,IFERROR(IF($B346&gt;0.9,2,IF($B346&lt;0.3,1,0)),-1))</f>
        <v>-1</v>
      </c>
      <c r="D346" s="2"/>
    </row>
    <row r="347" spans="1:4" ht="14.4" customHeight="1">
      <c r="A347" s="2">
        <f>ROW()-4</f>
        <v>343</v>
      </c>
      <c r="B347" s="23" t="e">
        <f>R347/L347</f>
        <v>#DIV/0!</v>
      </c>
      <c r="C347" s="2">
        <f>IF(ISBLANK($B347),-1,IFERROR(IF($B347&gt;0.9,2,IF($B347&lt;0.3,1,0)),-1))</f>
        <v>-1</v>
      </c>
      <c r="D347" s="2"/>
    </row>
    <row r="348" spans="1:4" ht="14.4" customHeight="1">
      <c r="A348" s="2">
        <f>ROW()-4</f>
        <v>344</v>
      </c>
      <c r="B348" s="23" t="e">
        <f>R348/L348</f>
        <v>#DIV/0!</v>
      </c>
      <c r="C348" s="2">
        <f>IF(ISBLANK($B348),-1,IFERROR(IF($B348&gt;0.9,2,IF($B348&lt;0.3,1,0)),-1))</f>
        <v>-1</v>
      </c>
      <c r="D348" s="2"/>
    </row>
    <row r="349" spans="1:4" ht="14.4" customHeight="1">
      <c r="A349" s="2">
        <f>ROW()-4</f>
        <v>345</v>
      </c>
      <c r="B349" s="23" t="e">
        <f>R349/L349</f>
        <v>#DIV/0!</v>
      </c>
      <c r="C349" s="2">
        <f>IF(ISBLANK($B349),-1,IFERROR(IF($B349&gt;0.9,2,IF($B349&lt;0.3,1,0)),-1))</f>
        <v>-1</v>
      </c>
      <c r="D349" s="2"/>
    </row>
    <row r="350" spans="1:4" ht="14.4" customHeight="1">
      <c r="A350" s="2">
        <f>ROW()-4</f>
        <v>346</v>
      </c>
      <c r="B350" s="23" t="e">
        <f>R350/L350</f>
        <v>#DIV/0!</v>
      </c>
      <c r="C350" s="2">
        <f>IF(ISBLANK($B350),-1,IFERROR(IF($B350&gt;0.9,2,IF($B350&lt;0.3,1,0)),-1))</f>
        <v>-1</v>
      </c>
      <c r="D350" s="2"/>
    </row>
    <row r="351" spans="1:4" ht="14.4" customHeight="1">
      <c r="A351" s="2">
        <f>ROW()-4</f>
        <v>347</v>
      </c>
      <c r="B351" s="23" t="e">
        <f>R351/L351</f>
        <v>#DIV/0!</v>
      </c>
      <c r="C351" s="2">
        <f>IF(ISBLANK($B351),-1,IFERROR(IF($B351&gt;0.9,2,IF($B351&lt;0.3,1,0)),-1))</f>
        <v>-1</v>
      </c>
      <c r="D351" s="2"/>
    </row>
    <row r="352" spans="1:4" ht="14.4" customHeight="1">
      <c r="A352" s="2">
        <f>ROW()-4</f>
        <v>348</v>
      </c>
      <c r="B352" s="23" t="e">
        <f>R352/L352</f>
        <v>#DIV/0!</v>
      </c>
      <c r="C352" s="2">
        <f>IF(ISBLANK($B352),-1,IFERROR(IF($B352&gt;0.9,2,IF($B352&lt;0.3,1,0)),-1))</f>
        <v>-1</v>
      </c>
      <c r="D352" s="2"/>
    </row>
    <row r="353" spans="1:4" ht="14.4" customHeight="1">
      <c r="A353" s="2">
        <f>ROW()-4</f>
        <v>349</v>
      </c>
      <c r="B353" s="23" t="e">
        <f>R353/L353</f>
        <v>#DIV/0!</v>
      </c>
      <c r="C353" s="2">
        <f>IF(ISBLANK($B353),-1,IFERROR(IF($B353&gt;0.9,2,IF($B353&lt;0.3,1,0)),-1))</f>
        <v>-1</v>
      </c>
      <c r="D353" s="2"/>
    </row>
    <row r="354" spans="1:4" ht="14.4" customHeight="1">
      <c r="A354" s="2">
        <f>ROW()-4</f>
        <v>350</v>
      </c>
      <c r="B354" s="23" t="e">
        <f>R354/L354</f>
        <v>#DIV/0!</v>
      </c>
      <c r="C354" s="2">
        <f>IF(ISBLANK($B354),-1,IFERROR(IF($B354&gt;0.9,2,IF($B354&lt;0.3,1,0)),-1))</f>
        <v>-1</v>
      </c>
      <c r="D354" s="2"/>
    </row>
    <row r="355" spans="1:4" ht="14.4" customHeight="1">
      <c r="A355" s="2">
        <f>ROW()-4</f>
        <v>351</v>
      </c>
      <c r="B355" s="23" t="e">
        <f>R355/L355</f>
        <v>#DIV/0!</v>
      </c>
      <c r="C355" s="2">
        <f>IF(ISBLANK($B355),-1,IFERROR(IF($B355&gt;0.9,2,IF($B355&lt;0.3,1,0)),-1))</f>
        <v>-1</v>
      </c>
      <c r="D355" s="2"/>
    </row>
    <row r="356" spans="1:4" ht="14.4" customHeight="1">
      <c r="A356" s="2">
        <f>ROW()-4</f>
        <v>352</v>
      </c>
      <c r="B356" s="23" t="e">
        <f>R356/L356</f>
        <v>#DIV/0!</v>
      </c>
      <c r="C356" s="2">
        <f>IF(ISBLANK($B356),-1,IFERROR(IF($B356&gt;0.9,2,IF($B356&lt;0.3,1,0)),-1))</f>
        <v>-1</v>
      </c>
      <c r="D356" s="2"/>
    </row>
    <row r="357" spans="1:4" ht="14.4" customHeight="1">
      <c r="A357" s="2">
        <f>ROW()-4</f>
        <v>353</v>
      </c>
      <c r="B357" s="23" t="e">
        <f>R357/L357</f>
        <v>#DIV/0!</v>
      </c>
      <c r="C357" s="2">
        <f>IF(ISBLANK($B357),-1,IFERROR(IF($B357&gt;0.9,2,IF($B357&lt;0.3,1,0)),-1))</f>
        <v>-1</v>
      </c>
      <c r="D357" s="2"/>
    </row>
    <row r="358" spans="1:4" ht="14.4" customHeight="1">
      <c r="A358" s="2">
        <f>ROW()-4</f>
        <v>354</v>
      </c>
      <c r="B358" s="23" t="e">
        <f>R358/L358</f>
        <v>#DIV/0!</v>
      </c>
      <c r="C358" s="2">
        <f>IF(ISBLANK($B358),-1,IFERROR(IF($B358&gt;0.9,2,IF($B358&lt;0.3,1,0)),-1))</f>
        <v>-1</v>
      </c>
      <c r="D358" s="2"/>
    </row>
    <row r="359" spans="1:4" ht="14.4" customHeight="1">
      <c r="A359" s="2">
        <f>ROW()-4</f>
        <v>355</v>
      </c>
      <c r="B359" s="23" t="e">
        <f>R359/L359</f>
        <v>#DIV/0!</v>
      </c>
      <c r="C359" s="2">
        <f>IF(ISBLANK($B359),-1,IFERROR(IF($B359&gt;0.9,2,IF($B359&lt;0.3,1,0)),-1))</f>
        <v>-1</v>
      </c>
      <c r="D359" s="2"/>
    </row>
    <row r="360" spans="1:4" ht="14.4" customHeight="1">
      <c r="A360" s="2">
        <f>ROW()-4</f>
        <v>356</v>
      </c>
      <c r="B360" s="23" t="e">
        <f>R360/L360</f>
        <v>#DIV/0!</v>
      </c>
      <c r="C360" s="2">
        <f>IF(ISBLANK($B360),-1,IFERROR(IF($B360&gt;0.9,2,IF($B360&lt;0.3,1,0)),-1))</f>
        <v>-1</v>
      </c>
      <c r="D360" s="2"/>
    </row>
    <row r="361" spans="1:4" ht="14.4" customHeight="1">
      <c r="A361" s="2">
        <f>ROW()-4</f>
        <v>357</v>
      </c>
      <c r="B361" s="23" t="e">
        <f>R361/L361</f>
        <v>#DIV/0!</v>
      </c>
      <c r="C361" s="2">
        <f>IF(ISBLANK($B361),-1,IFERROR(IF($B361&gt;0.9,2,IF($B361&lt;0.3,1,0)),-1))</f>
        <v>-1</v>
      </c>
      <c r="D361" s="2"/>
    </row>
    <row r="362" spans="1:4" ht="14.4" customHeight="1">
      <c r="A362" s="2">
        <f>ROW()-4</f>
        <v>358</v>
      </c>
      <c r="C362" s="2">
        <f>IF(ISBLANK($B362),-1,IFERROR(IF($B362&gt;0.9,2,IF($B362&lt;0.3,1,0)),-1))</f>
        <v>-1</v>
      </c>
      <c r="D362" s="2"/>
    </row>
    <row r="363" spans="1:4" ht="14.4" customHeight="1">
      <c r="A363" s="2">
        <f>ROW()-4</f>
        <v>359</v>
      </c>
      <c r="C363" s="2">
        <f>IF(ISBLANK($B363),-1,IFERROR(IF($B363&gt;0.9,2,IF($B363&lt;0.3,1,0)),-1))</f>
        <v>-1</v>
      </c>
      <c r="D363" s="2"/>
    </row>
    <row r="364" spans="1:4" ht="14.4" customHeight="1">
      <c r="A364" s="2">
        <f>ROW()-4</f>
        <v>360</v>
      </c>
      <c r="C364" s="2">
        <f>IF(ISBLANK($B364),-1,IFERROR(IF($B364&gt;0.9,2,IF($B364&lt;0.3,1,0)),-1))</f>
        <v>-1</v>
      </c>
      <c r="D364" s="2"/>
    </row>
    <row r="365" spans="1:4" ht="14.4" customHeight="1">
      <c r="A365" s="2">
        <f>ROW()-4</f>
        <v>361</v>
      </c>
      <c r="C365" s="2">
        <f>IF(ISBLANK($B365),-1,IFERROR(IF($B365&gt;0.9,2,IF($B365&lt;0.3,1,0)),-1))</f>
        <v>-1</v>
      </c>
      <c r="D365" s="2"/>
    </row>
    <row r="366" spans="1:4" ht="14.4" customHeight="1">
      <c r="A366" s="2">
        <f>ROW()-4</f>
        <v>362</v>
      </c>
      <c r="C366" s="2">
        <f>IF(ISBLANK($B366),-1,IFERROR(IF($B366&gt;0.9,2,IF($B366&lt;0.3,1,0)),-1))</f>
        <v>-1</v>
      </c>
      <c r="D366" s="2"/>
    </row>
    <row r="367" spans="1:4" ht="14.4" customHeight="1">
      <c r="A367" s="2">
        <f>ROW()-4</f>
        <v>363</v>
      </c>
      <c r="C367" s="2">
        <f>IF(ISBLANK($B367),-1,IFERROR(IF($B367&gt;0.9,2,IF($B367&lt;0.3,1,0)),-1))</f>
        <v>-1</v>
      </c>
      <c r="D367" s="2"/>
    </row>
    <row r="368" spans="1:4" ht="14.4" customHeight="1">
      <c r="A368" s="2">
        <f>ROW()-4</f>
        <v>364</v>
      </c>
      <c r="C368" s="2">
        <f>IF(ISBLANK($B368),-1,IFERROR(IF($B368&gt;0.9,2,IF($B368&lt;0.3,1,0)),-1))</f>
        <v>-1</v>
      </c>
      <c r="D368" s="2"/>
    </row>
    <row r="369" spans="1:4" ht="14.4" customHeight="1">
      <c r="A369" s="2">
        <f>ROW()-4</f>
        <v>365</v>
      </c>
      <c r="C369" s="2">
        <f>IF(ISBLANK($B369),-1,IFERROR(IF($B369&gt;0.9,2,IF($B369&lt;0.3,1,0)),-1))</f>
        <v>-1</v>
      </c>
      <c r="D369" s="2"/>
    </row>
    <row r="370" spans="1:4" ht="14.4" customHeight="1">
      <c r="A370" s="2">
        <f>ROW()-4</f>
        <v>366</v>
      </c>
      <c r="C370" s="2">
        <f>IF(ISBLANK($B370),-1,IFERROR(IF($B370&gt;0.9,2,IF($B370&lt;0.3,1,0)),-1))</f>
        <v>-1</v>
      </c>
      <c r="D370" s="2"/>
    </row>
    <row r="371" spans="1:4" ht="14.4" customHeight="1">
      <c r="A371" s="2">
        <f>ROW()-4</f>
        <v>367</v>
      </c>
      <c r="C371" s="2">
        <f>IF(ISBLANK($B371),-1,IFERROR(IF($B371&gt;0.9,2,IF($B371&lt;0.3,1,0)),-1))</f>
        <v>-1</v>
      </c>
      <c r="D371" s="2"/>
    </row>
    <row r="372" spans="1:4" ht="14.4" customHeight="1">
      <c r="A372" s="2">
        <f>ROW()-4</f>
        <v>368</v>
      </c>
      <c r="C372" s="2">
        <f>IF(ISBLANK($B372),-1,IFERROR(IF($B372&gt;0.9,2,IF($B372&lt;0.3,1,0)),-1))</f>
        <v>-1</v>
      </c>
      <c r="D372" s="2"/>
    </row>
    <row r="373" spans="1:4" ht="14.4" customHeight="1">
      <c r="A373" s="2">
        <f>ROW()-4</f>
        <v>369</v>
      </c>
      <c r="C373" s="2">
        <f>IF(ISBLANK($B373),-1,IFERROR(IF($B373&gt;0.9,2,IF($B373&lt;0.3,1,0)),-1))</f>
        <v>-1</v>
      </c>
      <c r="D373" s="2"/>
    </row>
    <row r="374" spans="1:4" ht="14.4" customHeight="1">
      <c r="A374" s="2">
        <f>ROW()-4</f>
        <v>370</v>
      </c>
      <c r="C374" s="2">
        <f>IF(ISBLANK($B374),-1,IFERROR(IF($B374&gt;0.9,2,IF($B374&lt;0.3,1,0)),-1))</f>
        <v>-1</v>
      </c>
      <c r="D374" s="2"/>
    </row>
    <row r="375" spans="1:4" ht="14.4" customHeight="1">
      <c r="A375" s="2">
        <f>ROW()-4</f>
        <v>371</v>
      </c>
      <c r="C375" s="2">
        <f>IF(ISBLANK($B375),-1,IFERROR(IF($B375&gt;0.9,2,IF($B375&lt;0.3,1,0)),-1))</f>
        <v>-1</v>
      </c>
      <c r="D375" s="2"/>
    </row>
    <row r="376" spans="1:4" ht="14.4" customHeight="1">
      <c r="A376" s="2">
        <f>ROW()-4</f>
        <v>372</v>
      </c>
      <c r="C376" s="2">
        <f>IF(ISBLANK($B376),-1,IFERROR(IF($B376&gt;0.9,2,IF($B376&lt;0.3,1,0)),-1))</f>
        <v>-1</v>
      </c>
      <c r="D376" s="2"/>
    </row>
    <row r="377" spans="1:4" ht="14.4" customHeight="1">
      <c r="A377" s="2">
        <f>ROW()-4</f>
        <v>373</v>
      </c>
      <c r="C377" s="2">
        <f>IF(ISBLANK($B377),-1,IFERROR(IF($B377&gt;0.9,2,IF($B377&lt;0.3,1,0)),-1))</f>
        <v>-1</v>
      </c>
      <c r="D377" s="2"/>
    </row>
    <row r="378" spans="1:4" ht="14.4" customHeight="1">
      <c r="A378" s="2">
        <f>ROW()-4</f>
        <v>374</v>
      </c>
      <c r="C378" s="2">
        <f>IF(ISBLANK($B378),-1,IFERROR(IF($B378&gt;0.9,2,IF($B378&lt;0.3,1,0)),-1))</f>
        <v>-1</v>
      </c>
      <c r="D378" s="2"/>
    </row>
    <row r="379" spans="1:4" ht="14.4" customHeight="1">
      <c r="A379" s="2">
        <f>ROW()-4</f>
        <v>375</v>
      </c>
      <c r="C379" s="2">
        <f>IF(ISBLANK($B379),-1,IFERROR(IF($B379&gt;0.9,2,IF($B379&lt;0.3,1,0)),-1))</f>
        <v>-1</v>
      </c>
      <c r="D379" s="2"/>
    </row>
    <row r="380" spans="1:4" ht="14.4" customHeight="1">
      <c r="A380" s="2">
        <f>ROW()-4</f>
        <v>376</v>
      </c>
      <c r="C380" s="2">
        <f>IF(ISBLANK($B380),-1,IFERROR(IF($B380&gt;0.9,2,IF($B380&lt;0.3,1,0)),-1))</f>
        <v>-1</v>
      </c>
      <c r="D380" s="2"/>
    </row>
    <row r="381" spans="1:4" ht="14.4" customHeight="1">
      <c r="A381" s="2">
        <f>ROW()-4</f>
        <v>377</v>
      </c>
      <c r="C381" s="2">
        <f>IF(ISBLANK($B381),-1,IFERROR(IF($B381&gt;0.9,2,IF($B381&lt;0.3,1,0)),-1))</f>
        <v>-1</v>
      </c>
      <c r="D381" s="2"/>
    </row>
    <row r="382" spans="1:4" ht="14.4" customHeight="1">
      <c r="A382" s="2">
        <f>ROW()-4</f>
        <v>378</v>
      </c>
      <c r="C382" s="2">
        <f>IF(ISBLANK($B382),-1,IFERROR(IF($B382&gt;0.9,2,IF($B382&lt;0.3,1,0)),-1))</f>
        <v>-1</v>
      </c>
      <c r="D382" s="2"/>
    </row>
    <row r="383" spans="1:4" ht="14.4" customHeight="1">
      <c r="A383" s="2">
        <f>ROW()-4</f>
        <v>379</v>
      </c>
      <c r="C383" s="2">
        <f>IF(ISBLANK($B383),-1,IFERROR(IF($B383&gt;0.9,2,IF($B383&lt;0.3,1,0)),-1))</f>
        <v>-1</v>
      </c>
      <c r="D383" s="2"/>
    </row>
    <row r="384" spans="1:4" ht="14.4" customHeight="1">
      <c r="A384" s="2">
        <f>ROW()-4</f>
        <v>380</v>
      </c>
      <c r="C384" s="2">
        <f>IF(ISBLANK($B384),-1,IFERROR(IF($B384&gt;0.9,2,IF($B384&lt;0.3,1,0)),-1))</f>
        <v>-1</v>
      </c>
      <c r="D384" s="2"/>
    </row>
    <row r="385" spans="1:4" ht="14.4" customHeight="1">
      <c r="A385" s="2">
        <f>ROW()-4</f>
        <v>381</v>
      </c>
      <c r="C385" s="2">
        <f>IF(ISBLANK($B385),-1,IFERROR(IF($B385&gt;0.9,2,IF($B385&lt;0.3,1,0)),-1))</f>
        <v>-1</v>
      </c>
      <c r="D385" s="2"/>
    </row>
    <row r="386" spans="1:4" ht="14.4" customHeight="1">
      <c r="A386" s="2">
        <f>ROW()-4</f>
        <v>382</v>
      </c>
      <c r="C386" s="2">
        <f>IF(ISBLANK($B386),-1,IFERROR(IF($B386&gt;0.9,2,IF($B386&lt;0.3,1,0)),-1))</f>
        <v>-1</v>
      </c>
      <c r="D386" s="2"/>
    </row>
    <row r="387" spans="1:4" ht="14.4" customHeight="1">
      <c r="A387" s="2">
        <f>ROW()-4</f>
        <v>383</v>
      </c>
      <c r="C387" s="2">
        <f>IF(ISBLANK($B387),-1,IFERROR(IF($B387&gt;0.9,2,IF($B387&lt;0.3,1,0)),-1))</f>
        <v>-1</v>
      </c>
      <c r="D387" s="2"/>
    </row>
    <row r="388" spans="1:4" ht="14.4" customHeight="1">
      <c r="A388" s="2">
        <f>ROW()-4</f>
        <v>384</v>
      </c>
      <c r="C388" s="2">
        <f>IF(ISBLANK($B388),-1,IFERROR(IF($B388&gt;0.9,2,IF($B388&lt;0.3,1,0)),-1))</f>
        <v>-1</v>
      </c>
      <c r="D388" s="2"/>
    </row>
    <row r="389" spans="1:4" ht="14.4" customHeight="1">
      <c r="A389" s="2">
        <f>ROW()-4</f>
        <v>385</v>
      </c>
      <c r="C389" s="2">
        <f>IF(ISBLANK($B389),-1,IFERROR(IF($B389&gt;0.9,2,IF($B389&lt;0.3,1,0)),-1))</f>
        <v>-1</v>
      </c>
      <c r="D389" s="2"/>
    </row>
    <row r="390" spans="1:4" ht="14.4" customHeight="1">
      <c r="A390" s="2">
        <f>ROW()-4</f>
        <v>386</v>
      </c>
      <c r="C390" s="2">
        <f>IF(ISBLANK($B390),-1,IFERROR(IF($B390&gt;0.9,2,IF($B390&lt;0.3,1,0)),-1))</f>
        <v>-1</v>
      </c>
      <c r="D390" s="2"/>
    </row>
    <row r="391" spans="1:4" ht="14.4" customHeight="1">
      <c r="A391" s="2">
        <f>ROW()-4</f>
        <v>387</v>
      </c>
      <c r="C391" s="2">
        <f>IF(ISBLANK($B391),-1,IFERROR(IF($B391&gt;0.9,2,IF($B391&lt;0.3,1,0)),-1))</f>
        <v>-1</v>
      </c>
      <c r="D391" s="2"/>
    </row>
    <row r="392" spans="1:4" ht="14.4" customHeight="1">
      <c r="A392" s="2">
        <f>ROW()-4</f>
        <v>388</v>
      </c>
      <c r="C392" s="2">
        <f>IF(ISBLANK($B392),-1,IFERROR(IF($B392&gt;0.9,2,IF($B392&lt;0.3,1,0)),-1))</f>
        <v>-1</v>
      </c>
      <c r="D392" s="2"/>
    </row>
    <row r="393" spans="1:4" ht="14.4" customHeight="1">
      <c r="A393" s="2">
        <f>ROW()-4</f>
        <v>389</v>
      </c>
      <c r="C393" s="2">
        <f>IF(ISBLANK($B393),-1,IFERROR(IF($B393&gt;0.9,2,IF($B393&lt;0.3,1,0)),-1))</f>
        <v>-1</v>
      </c>
      <c r="D393" s="2"/>
    </row>
    <row r="394" spans="1:4" ht="14.4" customHeight="1">
      <c r="A394" s="2">
        <f>ROW()-4</f>
        <v>390</v>
      </c>
      <c r="C394" s="2">
        <f>IF(ISBLANK($B394),-1,IFERROR(IF($B394&gt;0.9,2,IF($B394&lt;0.3,1,0)),-1))</f>
        <v>-1</v>
      </c>
      <c r="D394" s="2"/>
    </row>
    <row r="395" spans="1:4" ht="14.4" customHeight="1">
      <c r="A395" s="2">
        <f>ROW()-4</f>
        <v>391</v>
      </c>
      <c r="C395" s="2">
        <f>IF(ISBLANK($B395),-1,IFERROR(IF($B395&gt;0.9,2,IF($B395&lt;0.3,1,0)),-1))</f>
        <v>-1</v>
      </c>
      <c r="D395" s="2"/>
    </row>
    <row r="396" spans="1:4" ht="14.4" customHeight="1">
      <c r="A396" s="2">
        <f>ROW()-4</f>
        <v>392</v>
      </c>
      <c r="C396" s="2">
        <f>IF(ISBLANK($B396),-1,IFERROR(IF($B396&gt;0.9,2,IF($B396&lt;0.3,1,0)),-1))</f>
        <v>-1</v>
      </c>
      <c r="D396" s="2"/>
    </row>
    <row r="397" spans="1:4" ht="14.4" customHeight="1">
      <c r="A397" s="2">
        <f>ROW()-4</f>
        <v>393</v>
      </c>
      <c r="C397" s="2">
        <f>IF(ISBLANK($B397),-1,IFERROR(IF($B397&gt;0.9,2,IF($B397&lt;0.3,1,0)),-1))</f>
        <v>-1</v>
      </c>
      <c r="D397" s="2"/>
    </row>
    <row r="398" spans="1:4" ht="14.4" customHeight="1">
      <c r="A398" s="2">
        <f>ROW()-4</f>
        <v>394</v>
      </c>
      <c r="C398" s="2">
        <f>IF(ISBLANK($B398),-1,IFERROR(IF($B398&gt;0.9,2,IF($B398&lt;0.3,1,0)),-1))</f>
        <v>-1</v>
      </c>
      <c r="D398" s="2"/>
    </row>
    <row r="399" spans="1:4" ht="14.4" customHeight="1">
      <c r="A399" s="2">
        <f>ROW()-4</f>
        <v>395</v>
      </c>
      <c r="C399" s="2">
        <f>IF(ISBLANK($B399),-1,IFERROR(IF($B399&gt;0.9,2,IF($B399&lt;0.3,1,0)),-1))</f>
        <v>-1</v>
      </c>
      <c r="D399" s="2"/>
    </row>
    <row r="400" spans="1:4" ht="14.4" customHeight="1">
      <c r="A400" s="2">
        <f>ROW()-4</f>
        <v>396</v>
      </c>
      <c r="C400" s="2">
        <f>IF(ISBLANK($B400),-1,IFERROR(IF($B400&gt;0.9,2,IF($B400&lt;0.3,1,0)),-1))</f>
        <v>-1</v>
      </c>
      <c r="D400" s="2"/>
    </row>
    <row r="401" spans="1:4" ht="14.4" customHeight="1">
      <c r="A401" s="2">
        <f>ROW()-4</f>
        <v>397</v>
      </c>
      <c r="C401" s="2">
        <f>IF(ISBLANK($B401),-1,IFERROR(IF($B401&gt;0.9,2,IF($B401&lt;0.3,1,0)),-1))</f>
        <v>-1</v>
      </c>
      <c r="D401" s="2"/>
    </row>
    <row r="402" spans="1:4" ht="14.4" customHeight="1">
      <c r="A402" s="2">
        <f>ROW()-4</f>
        <v>398</v>
      </c>
      <c r="C402" s="2">
        <f>IF(ISBLANK($B402),-1,IFERROR(IF($B402&gt;0.9,2,IF($B402&lt;0.3,1,0)),-1))</f>
        <v>-1</v>
      </c>
      <c r="D402" s="2"/>
    </row>
    <row r="403" spans="1:4" ht="14.4" customHeight="1">
      <c r="A403" s="2">
        <f>ROW()-4</f>
        <v>399</v>
      </c>
      <c r="C403" s="2">
        <f>IF(ISBLANK($B403),-1,IFERROR(IF($B403&gt;0.9,2,IF($B403&lt;0.3,1,0)),-1))</f>
        <v>-1</v>
      </c>
      <c r="D403" s="2"/>
    </row>
    <row r="404" spans="1:4" ht="14.4" customHeight="1">
      <c r="A404" s="2">
        <f>ROW()-4</f>
        <v>400</v>
      </c>
      <c r="C404" s="2">
        <f>IF(ISBLANK($B404),-1,IFERROR(IF($B404&gt;0.9,2,IF($B404&lt;0.3,1,0)),-1))</f>
        <v>-1</v>
      </c>
      <c r="D404" s="2"/>
    </row>
    <row r="405" spans="1:4" ht="14.4" customHeight="1">
      <c r="A405" s="2">
        <f>ROW()-4</f>
        <v>401</v>
      </c>
      <c r="C405" s="2">
        <f>IF(ISBLANK($B405),-1,IFERROR(IF($B405&gt;0.9,2,IF($B405&lt;0.3,1,0)),-1))</f>
        <v>-1</v>
      </c>
      <c r="D405" s="2"/>
    </row>
    <row r="406" spans="1:4" ht="14.4" customHeight="1">
      <c r="A406" s="2">
        <f>ROW()-4</f>
        <v>402</v>
      </c>
      <c r="C406" s="2">
        <f>IF(ISBLANK($B406),-1,IFERROR(IF($B406&gt;0.9,2,IF($B406&lt;0.3,1,0)),-1))</f>
        <v>-1</v>
      </c>
      <c r="D406" s="2"/>
    </row>
    <row r="407" spans="1:4" ht="14.4" customHeight="1">
      <c r="A407" s="2">
        <f>ROW()-4</f>
        <v>403</v>
      </c>
      <c r="C407" s="2">
        <f>IF(ISBLANK($B407),-1,IFERROR(IF($B407&gt;0.9,2,IF($B407&lt;0.3,1,0)),-1))</f>
        <v>-1</v>
      </c>
      <c r="D407" s="2"/>
    </row>
    <row r="408" spans="1:4" ht="14.4" customHeight="1">
      <c r="A408" s="2">
        <f>ROW()-4</f>
        <v>404</v>
      </c>
      <c r="C408" s="2">
        <f>IF(ISBLANK($B408),-1,IFERROR(IF($B408&gt;0.9,2,IF($B408&lt;0.3,1,0)),-1))</f>
        <v>-1</v>
      </c>
      <c r="D408" s="2"/>
    </row>
    <row r="409" spans="1:4" ht="14.4" customHeight="1">
      <c r="A409" s="2">
        <f>ROW()-4</f>
        <v>405</v>
      </c>
      <c r="C409" s="2">
        <f>IF(ISBLANK($B409),-1,IFERROR(IF($B409&gt;0.9,2,IF($B409&lt;0.3,1,0)),-1))</f>
        <v>-1</v>
      </c>
      <c r="D409" s="2"/>
    </row>
    <row r="410" spans="1:4" ht="14.4" customHeight="1">
      <c r="A410" s="2">
        <f>ROW()-4</f>
        <v>406</v>
      </c>
      <c r="C410" s="2">
        <f>IF(ISBLANK($B410),-1,IFERROR(IF($B410&gt;0.9,2,IF($B410&lt;0.3,1,0)),-1))</f>
        <v>-1</v>
      </c>
      <c r="D410" s="2"/>
    </row>
    <row r="411" spans="1:4" ht="14.4" customHeight="1">
      <c r="A411" s="2">
        <f>ROW()-4</f>
        <v>407</v>
      </c>
      <c r="C411" s="2">
        <f>IF(ISBLANK($B411),-1,IFERROR(IF($B411&gt;0.9,2,IF($B411&lt;0.3,1,0)),-1))</f>
        <v>-1</v>
      </c>
      <c r="D411" s="2"/>
    </row>
    <row r="412" spans="1:4" ht="14.4" customHeight="1">
      <c r="A412" s="2">
        <f>ROW()-4</f>
        <v>408</v>
      </c>
      <c r="C412" s="2">
        <f>IF(ISBLANK($B412),-1,IFERROR(IF($B412&gt;0.9,2,IF($B412&lt;0.3,1,0)),-1))</f>
        <v>-1</v>
      </c>
      <c r="D412" s="2"/>
    </row>
    <row r="413" spans="1:4" ht="14.4" customHeight="1">
      <c r="A413" s="2">
        <f>ROW()-4</f>
        <v>409</v>
      </c>
      <c r="C413" s="2">
        <f>IF(ISBLANK($B413),-1,IFERROR(IF($B413&gt;0.9,2,IF($B413&lt;0.3,1,0)),-1))</f>
        <v>-1</v>
      </c>
      <c r="D413" s="2"/>
    </row>
    <row r="414" spans="1:4" ht="14.4" customHeight="1">
      <c r="A414" s="2">
        <f>ROW()-4</f>
        <v>410</v>
      </c>
      <c r="C414" s="2">
        <f>IF(ISBLANK($B414),-1,IFERROR(IF($B414&gt;0.9,2,IF($B414&lt;0.3,1,0)),-1))</f>
        <v>-1</v>
      </c>
      <c r="D414" s="2"/>
    </row>
    <row r="415" spans="1:4" ht="14.4" customHeight="1">
      <c r="A415" s="2">
        <f>ROW()-4</f>
        <v>411</v>
      </c>
      <c r="C415" s="2">
        <f>IF(ISBLANK($B415),-1,IFERROR(IF($B415&gt;0.9,2,IF($B415&lt;0.3,1,0)),-1))</f>
        <v>-1</v>
      </c>
      <c r="D415" s="2"/>
    </row>
    <row r="416" spans="1:4" ht="14.4" customHeight="1">
      <c r="A416" s="2">
        <f>ROW()-4</f>
        <v>412</v>
      </c>
      <c r="C416" s="2">
        <f>IF(ISBLANK($B416),-1,IFERROR(IF($B416&gt;0.9,2,IF($B416&lt;0.3,1,0)),-1))</f>
        <v>-1</v>
      </c>
      <c r="D416" s="2"/>
    </row>
    <row r="417" spans="1:4" ht="14.4" customHeight="1">
      <c r="A417" s="2">
        <f>ROW()-4</f>
        <v>413</v>
      </c>
      <c r="C417" s="2">
        <f>IF(ISBLANK($B417),-1,IFERROR(IF($B417&gt;0.9,2,IF($B417&lt;0.3,1,0)),-1))</f>
        <v>-1</v>
      </c>
      <c r="D417" s="2"/>
    </row>
    <row r="418" spans="1:4" ht="14.4" customHeight="1">
      <c r="A418" s="2">
        <f>ROW()-4</f>
        <v>414</v>
      </c>
      <c r="C418" s="2">
        <f>IF(ISBLANK($B418),-1,IFERROR(IF($B418&gt;0.9,2,IF($B418&lt;0.3,1,0)),-1))</f>
        <v>-1</v>
      </c>
      <c r="D418" s="2"/>
    </row>
    <row r="419" spans="1:4" ht="14.4" customHeight="1">
      <c r="A419" s="2">
        <f>ROW()-4</f>
        <v>415</v>
      </c>
      <c r="C419" s="2">
        <f>IF(ISBLANK($B419),-1,IFERROR(IF($B419&gt;0.9,2,IF($B419&lt;0.3,1,0)),-1))</f>
        <v>-1</v>
      </c>
      <c r="D419" s="2"/>
    </row>
    <row r="420" spans="1:4" ht="14.4" customHeight="1">
      <c r="A420" s="2">
        <f>ROW()-4</f>
        <v>416</v>
      </c>
      <c r="C420" s="2">
        <f>IF(ISBLANK($B420),-1,IFERROR(IF($B420&gt;0.9,2,IF($B420&lt;0.3,1,0)),-1))</f>
        <v>-1</v>
      </c>
      <c r="D420" s="2"/>
    </row>
    <row r="421" spans="1:4" ht="14.4" customHeight="1">
      <c r="A421" s="2">
        <f>ROW()-4</f>
        <v>417</v>
      </c>
      <c r="C421" s="2">
        <f>IF(ISBLANK($B421),-1,IFERROR(IF($B421&gt;0.9,2,IF($B421&lt;0.3,1,0)),-1))</f>
        <v>-1</v>
      </c>
      <c r="D421" s="2"/>
    </row>
    <row r="422" spans="1:4" ht="14.4" customHeight="1">
      <c r="A422" s="2">
        <f>ROW()-4</f>
        <v>418</v>
      </c>
      <c r="C422" s="2">
        <f>IF(ISBLANK($B422),-1,IFERROR(IF($B422&gt;0.9,2,IF($B422&lt;0.3,1,0)),-1))</f>
        <v>-1</v>
      </c>
      <c r="D422" s="2"/>
    </row>
    <row r="423" spans="1:4" ht="14.4" customHeight="1">
      <c r="A423" s="2">
        <f>ROW()-4</f>
        <v>419</v>
      </c>
      <c r="C423" s="2">
        <f>IF(ISBLANK($B423),-1,IFERROR(IF($B423&gt;0.9,2,IF($B423&lt;0.3,1,0)),-1))</f>
        <v>-1</v>
      </c>
      <c r="D423" s="2"/>
    </row>
    <row r="424" spans="1:4" ht="14.4" customHeight="1">
      <c r="A424" s="2">
        <f>ROW()-4</f>
        <v>420</v>
      </c>
      <c r="C424" s="2">
        <f>IF(ISBLANK($B424),-1,IFERROR(IF($B424&gt;0.9,2,IF($B424&lt;0.3,1,0)),-1))</f>
        <v>-1</v>
      </c>
      <c r="D424" s="2"/>
    </row>
    <row r="425" spans="1:4" ht="14.4" customHeight="1">
      <c r="A425" s="2">
        <f>ROW()-4</f>
        <v>421</v>
      </c>
      <c r="C425" s="2">
        <f>IF(ISBLANK($B425),-1,IFERROR(IF($B425&gt;0.9,2,IF($B425&lt;0.3,1,0)),-1))</f>
        <v>-1</v>
      </c>
      <c r="D425" s="2"/>
    </row>
    <row r="426" spans="1:4" ht="14.4" customHeight="1">
      <c r="A426" s="2">
        <f>ROW()-4</f>
        <v>422</v>
      </c>
      <c r="C426" s="2">
        <f>IF(ISBLANK($B426),-1,IFERROR(IF($B426&gt;0.9,2,IF($B426&lt;0.3,1,0)),-1))</f>
        <v>-1</v>
      </c>
      <c r="D426" s="2"/>
    </row>
    <row r="427" spans="1:4" ht="14.4" customHeight="1">
      <c r="A427" s="2">
        <f>ROW()-4</f>
        <v>423</v>
      </c>
      <c r="C427" s="2">
        <f>IF(ISBLANK($B427),-1,IFERROR(IF($B427&gt;0.9,2,IF($B427&lt;0.3,1,0)),-1))</f>
        <v>-1</v>
      </c>
      <c r="D427" s="2"/>
    </row>
    <row r="428" spans="1:4" ht="14.4" customHeight="1">
      <c r="A428" s="2">
        <f>ROW()-4</f>
        <v>424</v>
      </c>
      <c r="C428" s="2">
        <f>IF(ISBLANK($B428),-1,IFERROR(IF($B428&gt;0.9,2,IF($B428&lt;0.3,1,0)),-1))</f>
        <v>-1</v>
      </c>
      <c r="D428" s="2"/>
    </row>
    <row r="429" spans="1:4" ht="14.4" customHeight="1">
      <c r="A429" s="2">
        <f>ROW()-4</f>
        <v>425</v>
      </c>
      <c r="C429" s="2">
        <f>IF(ISBLANK($B429),-1,IFERROR(IF($B429&gt;0.9,2,IF($B429&lt;0.3,1,0)),-1))</f>
        <v>-1</v>
      </c>
      <c r="D429" s="2"/>
    </row>
    <row r="430" spans="1:4" ht="14.4" customHeight="1">
      <c r="A430" s="2">
        <f>ROW()-4</f>
        <v>426</v>
      </c>
      <c r="C430" s="2">
        <f>IF(ISBLANK($B430),-1,IFERROR(IF($B430&gt;0.9,2,IF($B430&lt;0.3,1,0)),-1))</f>
        <v>-1</v>
      </c>
      <c r="D430" s="2"/>
    </row>
    <row r="431" spans="1:4" ht="14.4" customHeight="1">
      <c r="A431" s="2">
        <f>ROW()-4</f>
        <v>427</v>
      </c>
      <c r="C431" s="2">
        <f>IF(ISBLANK($B431),-1,IFERROR(IF($B431&gt;0.9,2,IF($B431&lt;0.3,1,0)),-1))</f>
        <v>-1</v>
      </c>
      <c r="D431" s="2"/>
    </row>
    <row r="432" spans="1:4" ht="14.4" customHeight="1">
      <c r="A432" s="2">
        <f>ROW()-4</f>
        <v>428</v>
      </c>
      <c r="C432" s="2">
        <f>IF(ISBLANK($B432),-1,IFERROR(IF($B432&gt;0.9,2,IF($B432&lt;0.3,1,0)),-1))</f>
        <v>-1</v>
      </c>
      <c r="D432" s="2"/>
    </row>
    <row r="433" spans="1:4" ht="14.4" customHeight="1">
      <c r="A433" s="2">
        <f>ROW()-4</f>
        <v>429</v>
      </c>
      <c r="C433" s="2">
        <f>IF(ISBLANK($B433),-1,IFERROR(IF($B433&gt;0.9,2,IF($B433&lt;0.3,1,0)),-1))</f>
        <v>-1</v>
      </c>
      <c r="D433" s="2"/>
    </row>
    <row r="434" spans="1:4" ht="14.4" customHeight="1">
      <c r="A434" s="2">
        <f>ROW()-4</f>
        <v>430</v>
      </c>
      <c r="C434" s="2">
        <f>IF(ISBLANK($B434),-1,IFERROR(IF($B434&gt;0.9,2,IF($B434&lt;0.3,1,0)),-1))</f>
        <v>-1</v>
      </c>
      <c r="D434" s="2"/>
    </row>
    <row r="435" spans="1:4" ht="14.4" customHeight="1">
      <c r="A435" s="2">
        <f>ROW()-4</f>
        <v>431</v>
      </c>
      <c r="C435" s="2">
        <f>IF(ISBLANK($B435),-1,IFERROR(IF($B435&gt;0.9,2,IF($B435&lt;0.3,1,0)),-1))</f>
        <v>-1</v>
      </c>
      <c r="D435" s="2"/>
    </row>
    <row r="436" spans="1:4" ht="14.4" customHeight="1">
      <c r="A436" s="2">
        <f>ROW()-4</f>
        <v>432</v>
      </c>
      <c r="C436" s="2">
        <f>IF(ISBLANK($B436),-1,IFERROR(IF($B436&gt;0.9,2,IF($B436&lt;0.3,1,0)),-1))</f>
        <v>-1</v>
      </c>
      <c r="D436" s="2"/>
    </row>
    <row r="437" spans="1:4" ht="14.4" customHeight="1">
      <c r="A437" s="2">
        <f>ROW()-4</f>
        <v>433</v>
      </c>
      <c r="C437" s="2">
        <f>IF(ISBLANK($B437),-1,IFERROR(IF($B437&gt;0.9,2,IF($B437&lt;0.3,1,0)),-1))</f>
        <v>-1</v>
      </c>
      <c r="D437" s="2"/>
    </row>
    <row r="438" spans="1:4" ht="14.4" customHeight="1">
      <c r="A438" s="2">
        <f>ROW()-4</f>
        <v>434</v>
      </c>
      <c r="C438" s="2">
        <f>IF(ISBLANK($B438),-1,IFERROR(IF($B438&gt;0.9,2,IF($B438&lt;0.3,1,0)),-1))</f>
        <v>-1</v>
      </c>
      <c r="D438" s="2"/>
    </row>
    <row r="439" spans="1:4" ht="14.4" customHeight="1">
      <c r="A439" s="2">
        <f>ROW()-4</f>
        <v>435</v>
      </c>
      <c r="C439" s="2">
        <f>IF(ISBLANK($B439),-1,IFERROR(IF($B439&gt;0.9,2,IF($B439&lt;0.3,1,0)),-1))</f>
        <v>-1</v>
      </c>
      <c r="D439" s="2"/>
    </row>
    <row r="440" spans="1:4" ht="14.4" customHeight="1">
      <c r="A440" s="2">
        <f>ROW()-4</f>
        <v>436</v>
      </c>
      <c r="C440" s="2">
        <f>IF(ISBLANK($B440),-1,IFERROR(IF($B440&gt;0.9,2,IF($B440&lt;0.3,1,0)),-1))</f>
        <v>-1</v>
      </c>
      <c r="D440" s="2"/>
    </row>
    <row r="441" spans="1:4" ht="14.4" customHeight="1">
      <c r="A441" s="2">
        <f>ROW()-4</f>
        <v>437</v>
      </c>
      <c r="C441" s="2">
        <f>IF(ISBLANK($B441),-1,IFERROR(IF($B441&gt;0.9,2,IF($B441&lt;0.3,1,0)),-1))</f>
        <v>-1</v>
      </c>
      <c r="D441" s="2"/>
    </row>
    <row r="442" spans="1:4" ht="14.4" customHeight="1">
      <c r="A442" s="2">
        <f>ROW()-4</f>
        <v>438</v>
      </c>
      <c r="C442" s="2">
        <f>IF(ISBLANK($B442),-1,IFERROR(IF($B442&gt;0.9,2,IF($B442&lt;0.3,1,0)),-1))</f>
        <v>-1</v>
      </c>
      <c r="D442" s="2"/>
    </row>
    <row r="443" spans="1:4" ht="14.4" customHeight="1">
      <c r="A443" s="2">
        <f>ROW()-4</f>
        <v>439</v>
      </c>
      <c r="C443" s="2">
        <f>IF(ISBLANK($B443),-1,IFERROR(IF($B443&gt;0.9,2,IF($B443&lt;0.3,1,0)),-1))</f>
        <v>-1</v>
      </c>
      <c r="D443" s="2"/>
    </row>
    <row r="444" spans="1:4" ht="14.4" customHeight="1">
      <c r="A444" s="2">
        <f>ROW()-4</f>
        <v>440</v>
      </c>
      <c r="C444" s="2">
        <f>IF(ISBLANK($B444),-1,IFERROR(IF($B444&gt;0.9,2,IF($B444&lt;0.3,1,0)),-1))</f>
        <v>-1</v>
      </c>
      <c r="D444" s="2"/>
    </row>
    <row r="445" spans="1:4" ht="14.4" customHeight="1">
      <c r="A445" s="2">
        <f>ROW()-4</f>
        <v>441</v>
      </c>
      <c r="C445" s="2">
        <f>IF(ISBLANK($B445),-1,IFERROR(IF($B445&gt;0.9,2,IF($B445&lt;0.3,1,0)),-1))</f>
        <v>-1</v>
      </c>
      <c r="D445" s="2"/>
    </row>
    <row r="446" spans="1:4" ht="14.4" customHeight="1">
      <c r="A446" s="2">
        <f>ROW()-4</f>
        <v>442</v>
      </c>
      <c r="C446" s="2">
        <f>IF(ISBLANK($B446),-1,IFERROR(IF($B446&gt;0.9,2,IF($B446&lt;0.3,1,0)),-1))</f>
        <v>-1</v>
      </c>
      <c r="D446" s="2"/>
    </row>
    <row r="447" spans="1:4" ht="14.4" customHeight="1">
      <c r="A447" s="2">
        <f>ROW()-4</f>
        <v>443</v>
      </c>
      <c r="C447" s="2">
        <f>IF(ISBLANK($B447),-1,IFERROR(IF($B447&gt;0.9,2,IF($B447&lt;0.3,1,0)),-1))</f>
        <v>-1</v>
      </c>
      <c r="D447" s="2"/>
    </row>
    <row r="448" spans="1:4" ht="14.4" customHeight="1">
      <c r="A448" s="2">
        <f>ROW()-4</f>
        <v>444</v>
      </c>
      <c r="C448" s="2">
        <f>IF(ISBLANK($B448),-1,IFERROR(IF($B448&gt;0.9,2,IF($B448&lt;0.3,1,0)),-1))</f>
        <v>-1</v>
      </c>
      <c r="D448" s="2"/>
    </row>
    <row r="449" spans="1:4" ht="14.4" customHeight="1">
      <c r="A449" s="2">
        <f>ROW()-4</f>
        <v>445</v>
      </c>
      <c r="C449" s="2">
        <f>IF(ISBLANK($B449),-1,IFERROR(IF($B449&gt;0.9,2,IF($B449&lt;0.3,1,0)),-1))</f>
        <v>-1</v>
      </c>
      <c r="D449" s="2"/>
    </row>
    <row r="450" spans="1:4" ht="14.4" customHeight="1">
      <c r="A450" s="2">
        <f>ROW()-4</f>
        <v>446</v>
      </c>
      <c r="C450" s="2">
        <f>IF(ISBLANK($B450),-1,IFERROR(IF($B450&gt;0.9,2,IF($B450&lt;0.3,1,0)),-1))</f>
        <v>-1</v>
      </c>
      <c r="D450" s="2"/>
    </row>
    <row r="451" spans="1:4" ht="14.4" customHeight="1">
      <c r="A451" s="2">
        <f>ROW()-4</f>
        <v>447</v>
      </c>
      <c r="C451" s="2">
        <f>IF(ISBLANK($B451),-1,IFERROR(IF($B451&gt;0.9,2,IF($B451&lt;0.3,1,0)),-1))</f>
        <v>-1</v>
      </c>
      <c r="D451" s="2"/>
    </row>
    <row r="452" spans="1:4" ht="14.4" customHeight="1">
      <c r="A452" s="2">
        <f>ROW()-4</f>
        <v>448</v>
      </c>
      <c r="C452" s="2">
        <f>IF(ISBLANK($B452),-1,IFERROR(IF($B452&gt;0.9,2,IF($B452&lt;0.3,1,0)),-1))</f>
        <v>-1</v>
      </c>
      <c r="D452" s="2"/>
    </row>
    <row r="453" spans="1:4" ht="14.4" customHeight="1">
      <c r="A453" s="2">
        <f>ROW()-4</f>
        <v>449</v>
      </c>
      <c r="C453" s="2">
        <f>IF(ISBLANK($B453),-1,IFERROR(IF($B453&gt;0.9,2,IF($B453&lt;0.3,1,0)),-1))</f>
        <v>-1</v>
      </c>
      <c r="D453" s="2"/>
    </row>
    <row r="454" spans="1:4" ht="14.4" customHeight="1">
      <c r="A454" s="2">
        <f>ROW()-4</f>
        <v>450</v>
      </c>
      <c r="C454" s="2">
        <f>IF(ISBLANK($B454),-1,IFERROR(IF($B454&gt;0.9,2,IF($B454&lt;0.3,1,0)),-1))</f>
        <v>-1</v>
      </c>
      <c r="D454" s="2"/>
    </row>
    <row r="455" spans="1:4" ht="14.4" customHeight="1">
      <c r="A455" s="2">
        <f>ROW()-4</f>
        <v>451</v>
      </c>
      <c r="C455" s="2">
        <f>IF(ISBLANK($B455),-1,IFERROR(IF($B455&gt;0.9,2,IF($B455&lt;0.3,1,0)),-1))</f>
        <v>-1</v>
      </c>
      <c r="D455" s="2"/>
    </row>
    <row r="456" spans="1:4" ht="14.4" customHeight="1">
      <c r="A456" s="2">
        <f>ROW()-4</f>
        <v>452</v>
      </c>
      <c r="C456" s="2">
        <f>IF(ISBLANK($B456),-1,IFERROR(IF($B456&gt;0.9,2,IF($B456&lt;0.3,1,0)),-1))</f>
        <v>-1</v>
      </c>
      <c r="D456" s="2"/>
    </row>
    <row r="457" spans="1:4" ht="14.4" customHeight="1">
      <c r="A457" s="2">
        <f>ROW()-4</f>
        <v>453</v>
      </c>
      <c r="C457" s="2">
        <f>IF(ISBLANK($B457),-1,IFERROR(IF($B457&gt;0.9,2,IF($B457&lt;0.3,1,0)),-1))</f>
        <v>-1</v>
      </c>
      <c r="D457" s="2"/>
    </row>
    <row r="458" spans="1:4" ht="14.4" customHeight="1">
      <c r="A458" s="2">
        <f>ROW()-4</f>
        <v>454</v>
      </c>
      <c r="C458" s="2">
        <f>IF(ISBLANK($B458),-1,IFERROR(IF($B458&gt;0.9,2,IF($B458&lt;0.3,1,0)),-1))</f>
        <v>-1</v>
      </c>
      <c r="D458" s="2"/>
    </row>
    <row r="459" spans="1:4" ht="14.4" customHeight="1">
      <c r="A459" s="2">
        <f>ROW()-4</f>
        <v>455</v>
      </c>
      <c r="C459" s="2">
        <f>IF(ISBLANK($B459),-1,IFERROR(IF($B459&gt;0.9,2,IF($B459&lt;0.3,1,0)),-1))</f>
        <v>-1</v>
      </c>
      <c r="D459" s="2"/>
    </row>
    <row r="460" spans="1:4" ht="14.4" customHeight="1">
      <c r="A460" s="2">
        <f>ROW()-4</f>
        <v>456</v>
      </c>
      <c r="C460" s="2">
        <f>IF(ISBLANK($B460),-1,IFERROR(IF($B460&gt;0.9,2,IF($B460&lt;0.3,1,0)),-1))</f>
        <v>-1</v>
      </c>
      <c r="D460" s="2"/>
    </row>
    <row r="461" spans="1:4" ht="14.4" customHeight="1">
      <c r="A461" s="2">
        <f>ROW()-4</f>
        <v>457</v>
      </c>
      <c r="C461" s="2">
        <f>IF(ISBLANK($B461),-1,IFERROR(IF($B461&gt;0.9,2,IF($B461&lt;0.3,1,0)),-1))</f>
        <v>-1</v>
      </c>
      <c r="D461" s="2"/>
    </row>
    <row r="462" spans="1:4" ht="14.4" customHeight="1">
      <c r="A462" s="2">
        <f>ROW()-4</f>
        <v>458</v>
      </c>
      <c r="C462" s="2">
        <f>IF(ISBLANK($B462),-1,IFERROR(IF($B462&gt;0.9,2,IF($B462&lt;0.3,1,0)),-1))</f>
        <v>-1</v>
      </c>
      <c r="D462" s="2"/>
    </row>
    <row r="463" spans="1:4" ht="14.4" customHeight="1">
      <c r="A463" s="2">
        <f>ROW()-4</f>
        <v>459</v>
      </c>
      <c r="C463" s="2">
        <f>IF(ISBLANK($B463),-1,IFERROR(IF($B463&gt;0.9,2,IF($B463&lt;0.3,1,0)),-1))</f>
        <v>-1</v>
      </c>
      <c r="D463" s="2"/>
    </row>
    <row r="464" spans="1:4" ht="14.4" customHeight="1">
      <c r="A464" s="2">
        <f>ROW()-4</f>
        <v>460</v>
      </c>
      <c r="C464" s="2">
        <f>IF(ISBLANK($B464),-1,IFERROR(IF($B464&gt;0.9,2,IF($B464&lt;0.3,1,0)),-1))</f>
        <v>-1</v>
      </c>
      <c r="D464" s="2"/>
    </row>
    <row r="465" spans="1:4" ht="14.4" customHeight="1">
      <c r="A465" s="2">
        <f>ROW()-4</f>
        <v>461</v>
      </c>
      <c r="C465" s="2">
        <f>IF(ISBLANK($B465),-1,IFERROR(IF($B465&gt;0.9,2,IF($B465&lt;0.3,1,0)),-1))</f>
        <v>-1</v>
      </c>
      <c r="D465" s="2"/>
    </row>
    <row r="466" spans="1:4" ht="14.4" customHeight="1">
      <c r="A466" s="2">
        <f>ROW()-4</f>
        <v>462</v>
      </c>
      <c r="C466" s="2">
        <f>IF(ISBLANK($B466),-1,IFERROR(IF($B466&gt;0.9,2,IF($B466&lt;0.3,1,0)),-1))</f>
        <v>-1</v>
      </c>
      <c r="D466" s="2"/>
    </row>
    <row r="467" spans="1:4" ht="14.4" customHeight="1">
      <c r="A467" s="2">
        <f>ROW()-4</f>
        <v>463</v>
      </c>
      <c r="C467" s="2">
        <f>IF(ISBLANK($B467),-1,IFERROR(IF($B467&gt;0.9,2,IF($B467&lt;0.3,1,0)),-1))</f>
        <v>-1</v>
      </c>
      <c r="D467" s="2"/>
    </row>
    <row r="468" spans="1:4" ht="14.4" customHeight="1">
      <c r="A468" s="2">
        <f>ROW()-4</f>
        <v>464</v>
      </c>
      <c r="C468" s="2">
        <f>IF(ISBLANK($B468),-1,IFERROR(IF($B468&gt;0.9,2,IF($B468&lt;0.3,1,0)),-1))</f>
        <v>-1</v>
      </c>
      <c r="D468" s="2"/>
    </row>
    <row r="469" spans="1:4" ht="14.4" customHeight="1">
      <c r="A469" s="2">
        <f>ROW()-4</f>
        <v>465</v>
      </c>
      <c r="C469" s="2">
        <f>IF(ISBLANK($B469),-1,IFERROR(IF($B469&gt;0.9,2,IF($B469&lt;0.3,1,0)),-1))</f>
        <v>-1</v>
      </c>
      <c r="D469" s="2"/>
    </row>
    <row r="470" spans="1:4" ht="14.4" customHeight="1">
      <c r="A470" s="2">
        <f>ROW()-4</f>
        <v>466</v>
      </c>
      <c r="C470" s="2">
        <f>IF(ISBLANK($B470),-1,IFERROR(IF($B470&gt;0.9,2,IF($B470&lt;0.3,1,0)),-1))</f>
        <v>-1</v>
      </c>
      <c r="D470" s="2"/>
    </row>
    <row r="471" spans="1:4" ht="14.4" customHeight="1">
      <c r="A471" s="2">
        <f>ROW()-4</f>
        <v>467</v>
      </c>
      <c r="C471" s="2">
        <f>IF(ISBLANK($B471),-1,IFERROR(IF($B471&gt;0.9,2,IF($B471&lt;0.3,1,0)),-1))</f>
        <v>-1</v>
      </c>
      <c r="D471" s="2"/>
    </row>
    <row r="472" spans="1:4" ht="14.4" customHeight="1">
      <c r="A472" s="2">
        <f>ROW()-4</f>
        <v>468</v>
      </c>
      <c r="C472" s="2">
        <f>IF(ISBLANK($B472),-1,IFERROR(IF($B472&gt;0.9,2,IF($B472&lt;0.3,1,0)),-1))</f>
        <v>-1</v>
      </c>
      <c r="D472" s="2"/>
    </row>
    <row r="473" spans="1:4" ht="14.4" customHeight="1">
      <c r="A473" s="2">
        <f>ROW()-4</f>
        <v>469</v>
      </c>
      <c r="C473" s="2">
        <f>IF(ISBLANK($B473),-1,IFERROR(IF($B473&gt;0.9,2,IF($B473&lt;0.3,1,0)),-1))</f>
        <v>-1</v>
      </c>
      <c r="D473" s="2"/>
    </row>
    <row r="474" spans="1:4" ht="14.4" customHeight="1">
      <c r="A474" s="2">
        <f>ROW()-4</f>
        <v>470</v>
      </c>
      <c r="C474" s="2">
        <f>IF(ISBLANK($B474),-1,IFERROR(IF($B474&gt;0.9,2,IF($B474&lt;0.3,1,0)),-1))</f>
        <v>-1</v>
      </c>
      <c r="D474" s="2"/>
    </row>
    <row r="475" spans="1:4" ht="14.4" customHeight="1">
      <c r="A475" s="2">
        <f>ROW()-4</f>
        <v>471</v>
      </c>
      <c r="C475" s="2">
        <f>IF(ISBLANK($B475),-1,IFERROR(IF($B475&gt;0.9,2,IF($B475&lt;0.3,1,0)),-1))</f>
        <v>-1</v>
      </c>
      <c r="D475" s="2"/>
    </row>
    <row r="476" spans="1:4" ht="14.4" customHeight="1">
      <c r="A476" s="2">
        <f>ROW()-4</f>
        <v>472</v>
      </c>
      <c r="C476" s="2">
        <f>IF(ISBLANK($B476),-1,IFERROR(IF($B476&gt;0.9,2,IF($B476&lt;0.3,1,0)),-1))</f>
        <v>-1</v>
      </c>
      <c r="D476" s="2"/>
    </row>
    <row r="477" spans="1:4" ht="14.4" customHeight="1">
      <c r="A477" s="2">
        <f>ROW()-4</f>
        <v>473</v>
      </c>
      <c r="C477" s="2">
        <f>IF(ISBLANK($B477),-1,IFERROR(IF($B477&gt;0.9,2,IF($B477&lt;0.3,1,0)),-1))</f>
        <v>-1</v>
      </c>
      <c r="D477" s="2"/>
    </row>
    <row r="478" spans="1:4" ht="14.4" customHeight="1">
      <c r="A478" s="2">
        <f>ROW()-4</f>
        <v>474</v>
      </c>
      <c r="C478" s="2">
        <f>IF(ISBLANK($B478),-1,IFERROR(IF($B478&gt;0.9,2,IF($B478&lt;0.3,1,0)),-1))</f>
        <v>-1</v>
      </c>
      <c r="D478" s="2"/>
    </row>
    <row r="479" spans="1:4" ht="14.4" customHeight="1">
      <c r="A479" s="2">
        <f>ROW()-4</f>
        <v>475</v>
      </c>
      <c r="C479" s="2">
        <f>IF(ISBLANK($B479),-1,IFERROR(IF($B479&gt;0.9,2,IF($B479&lt;0.3,1,0)),-1))</f>
        <v>-1</v>
      </c>
      <c r="D479" s="2"/>
    </row>
    <row r="480" spans="1:4" ht="14.4" customHeight="1">
      <c r="A480" s="2">
        <f>ROW()-4</f>
        <v>476</v>
      </c>
      <c r="C480" s="2">
        <f>IF(ISBLANK($B480),-1,IFERROR(IF($B480&gt;0.9,2,IF($B480&lt;0.3,1,0)),-1))</f>
        <v>-1</v>
      </c>
      <c r="D480" s="2"/>
    </row>
    <row r="481" spans="1:4" ht="14.4" customHeight="1">
      <c r="A481" s="2">
        <f>ROW()-4</f>
        <v>477</v>
      </c>
      <c r="C481" s="2">
        <f>IF(ISBLANK($B481),-1,IFERROR(IF($B481&gt;0.9,2,IF($B481&lt;0.3,1,0)),-1))</f>
        <v>-1</v>
      </c>
      <c r="D481" s="2"/>
    </row>
    <row r="482" spans="1:4" ht="14.4" customHeight="1">
      <c r="A482" s="2">
        <f>ROW()-4</f>
        <v>478</v>
      </c>
      <c r="C482" s="2">
        <f>IF(ISBLANK($B482),-1,IFERROR(IF($B482&gt;0.9,2,IF($B482&lt;0.3,1,0)),-1))</f>
        <v>-1</v>
      </c>
      <c r="D482" s="2"/>
    </row>
    <row r="483" spans="1:4" ht="14.4" customHeight="1">
      <c r="A483" s="2">
        <f>ROW()-4</f>
        <v>479</v>
      </c>
      <c r="C483" s="2">
        <f>IF(ISBLANK($B483),-1,IFERROR(IF($B483&gt;0.9,2,IF($B483&lt;0.3,1,0)),-1))</f>
        <v>-1</v>
      </c>
      <c r="D483" s="2"/>
    </row>
    <row r="484" spans="1:4" ht="14.4" customHeight="1">
      <c r="A484" s="2">
        <f>ROW()-4</f>
        <v>480</v>
      </c>
      <c r="C484" s="2">
        <f>IF(ISBLANK($B484),-1,IFERROR(IF($B484&gt;0.9,2,IF($B484&lt;0.3,1,0)),-1))</f>
        <v>-1</v>
      </c>
      <c r="D484" s="2"/>
    </row>
    <row r="485" spans="1:4" ht="14.4" customHeight="1">
      <c r="A485" s="2">
        <f>ROW()-4</f>
        <v>481</v>
      </c>
      <c r="C485" s="2">
        <f>IF(ISBLANK($B485),-1,IFERROR(IF($B485&gt;0.9,2,IF($B485&lt;0.3,1,0)),-1))</f>
        <v>-1</v>
      </c>
      <c r="D485" s="2"/>
    </row>
    <row r="486" spans="1:4" ht="14.4" customHeight="1">
      <c r="A486" s="2">
        <f>ROW()-4</f>
        <v>482</v>
      </c>
      <c r="C486" s="2">
        <f>IF(ISBLANK($B486),-1,IFERROR(IF($B486&gt;0.9,2,IF($B486&lt;0.3,1,0)),-1))</f>
        <v>-1</v>
      </c>
      <c r="D486" s="2"/>
    </row>
    <row r="487" spans="1:4" ht="14.4" customHeight="1">
      <c r="A487" s="2">
        <f>ROW()-4</f>
        <v>483</v>
      </c>
      <c r="C487" s="2">
        <f>IF(ISBLANK($B487),-1,IFERROR(IF($B487&gt;0.9,2,IF($B487&lt;0.3,1,0)),-1))</f>
        <v>-1</v>
      </c>
      <c r="D487" s="2"/>
    </row>
    <row r="488" spans="1:4" ht="14.4" customHeight="1">
      <c r="A488" s="2">
        <f>ROW()-4</f>
        <v>484</v>
      </c>
      <c r="C488" s="2">
        <f>IF(ISBLANK($B488),-1,IFERROR(IF($B488&gt;0.9,2,IF($B488&lt;0.3,1,0)),-1))</f>
        <v>-1</v>
      </c>
      <c r="D488" s="2"/>
    </row>
    <row r="489" spans="1:4" ht="14.4" customHeight="1">
      <c r="A489" s="2">
        <f>ROW()-4</f>
        <v>485</v>
      </c>
      <c r="C489" s="2">
        <f>IF(ISBLANK($B489),-1,IFERROR(IF($B489&gt;0.9,2,IF($B489&lt;0.3,1,0)),-1))</f>
        <v>-1</v>
      </c>
      <c r="D489" s="2"/>
    </row>
    <row r="490" spans="1:4" ht="14.4" customHeight="1">
      <c r="A490" s="2">
        <f>ROW()-4</f>
        <v>486</v>
      </c>
      <c r="C490" s="2">
        <f>IF(ISBLANK($B490),-1,IFERROR(IF($B490&gt;0.9,2,IF($B490&lt;0.3,1,0)),-1))</f>
        <v>-1</v>
      </c>
      <c r="D490" s="2"/>
    </row>
    <row r="491" spans="1:4" ht="14.4" customHeight="1">
      <c r="A491" s="2">
        <f>ROW()-4</f>
        <v>487</v>
      </c>
      <c r="C491" s="2">
        <f>IF(ISBLANK($B491),-1,IFERROR(IF($B491&gt;0.9,2,IF($B491&lt;0.3,1,0)),-1))</f>
        <v>-1</v>
      </c>
      <c r="D491" s="2"/>
    </row>
    <row r="492" spans="1:4" ht="14.4" customHeight="1">
      <c r="A492" s="2">
        <f>ROW()-4</f>
        <v>488</v>
      </c>
      <c r="C492" s="2">
        <f>IF(ISBLANK($B492),-1,IFERROR(IF($B492&gt;0.9,2,IF($B492&lt;0.3,1,0)),-1))</f>
        <v>-1</v>
      </c>
      <c r="D492" s="2"/>
    </row>
    <row r="493" spans="1:4" ht="14.4" customHeight="1">
      <c r="A493" s="2">
        <f>ROW()-4</f>
        <v>489</v>
      </c>
      <c r="C493" s="2">
        <f>IF(ISBLANK($B493),-1,IFERROR(IF($B493&gt;0.9,2,IF($B493&lt;0.3,1,0)),-1))</f>
        <v>-1</v>
      </c>
      <c r="D493" s="2"/>
    </row>
    <row r="494" spans="1:4" ht="14.4" customHeight="1">
      <c r="A494" s="2">
        <f>ROW()-4</f>
        <v>490</v>
      </c>
      <c r="C494" s="2">
        <f>IF(ISBLANK($B494),-1,IFERROR(IF($B494&gt;0.9,2,IF($B494&lt;0.3,1,0)),-1))</f>
        <v>-1</v>
      </c>
      <c r="D494" s="2"/>
    </row>
    <row r="495" spans="1:4" ht="14.4" customHeight="1">
      <c r="A495" s="2">
        <f>ROW()-4</f>
        <v>491</v>
      </c>
      <c r="C495" s="2">
        <f>IF(ISBLANK($B495),-1,IFERROR(IF($B495&gt;0.9,2,IF($B495&lt;0.3,1,0)),-1))</f>
        <v>-1</v>
      </c>
      <c r="D495" s="2"/>
    </row>
    <row r="496" spans="1:4" ht="14.4" customHeight="1">
      <c r="A496" s="2">
        <f>ROW()-4</f>
        <v>492</v>
      </c>
      <c r="C496" s="2">
        <f>IF(ISBLANK($B496),-1,IFERROR(IF($B496&gt;0.9,2,IF($B496&lt;0.3,1,0)),-1))</f>
        <v>-1</v>
      </c>
      <c r="D496" s="2"/>
    </row>
    <row r="497" spans="1:4" ht="14.4" customHeight="1">
      <c r="A497" s="2">
        <f>ROW()-4</f>
        <v>493</v>
      </c>
      <c r="C497" s="2">
        <f>IF(ISBLANK($B497),-1,IFERROR(IF($B497&gt;0.9,2,IF($B497&lt;0.3,1,0)),-1))</f>
        <v>-1</v>
      </c>
      <c r="D497" s="2"/>
    </row>
    <row r="498" spans="1:4" ht="14.4" customHeight="1">
      <c r="A498" s="2">
        <f>ROW()-4</f>
        <v>494</v>
      </c>
      <c r="C498" s="2">
        <f>IF(ISBLANK($B498),-1,IFERROR(IF($B498&gt;0.9,2,IF($B498&lt;0.3,1,0)),-1))</f>
        <v>-1</v>
      </c>
      <c r="D498" s="2"/>
    </row>
    <row r="499" spans="1:4" ht="14.4" customHeight="1">
      <c r="A499" s="2">
        <f>ROW()-4</f>
        <v>495</v>
      </c>
      <c r="C499" s="2">
        <f>IF(ISBLANK($B499),-1,IFERROR(IF($B499&gt;0.9,2,IF($B499&lt;0.3,1,0)),-1))</f>
        <v>-1</v>
      </c>
      <c r="D499" s="2"/>
    </row>
    <row r="500" spans="1:4" ht="14.4" customHeight="1">
      <c r="A500" s="2">
        <f>ROW()-4</f>
        <v>496</v>
      </c>
      <c r="C500" s="2">
        <f>IF(ISBLANK($B500),-1,IFERROR(IF($B500&gt;0.9,2,IF($B500&lt;0.3,1,0)),-1))</f>
        <v>-1</v>
      </c>
      <c r="D500" s="2"/>
    </row>
    <row r="501" spans="1:4" ht="14.4" customHeight="1">
      <c r="A501" s="2">
        <f>ROW()-4</f>
        <v>497</v>
      </c>
      <c r="C501" s="2">
        <f>IF(ISBLANK($B501),-1,IFERROR(IF($B501&gt;0.9,2,IF($B501&lt;0.3,1,0)),-1))</f>
        <v>-1</v>
      </c>
      <c r="D501" s="2"/>
    </row>
    <row r="502" spans="1:4" ht="14.4" customHeight="1">
      <c r="A502" s="2">
        <f>ROW()-4</f>
        <v>498</v>
      </c>
      <c r="C502" s="2">
        <f>IF(ISBLANK($B502),-1,IFERROR(IF($B502&gt;0.9,2,IF($B502&lt;0.3,1,0)),-1))</f>
        <v>-1</v>
      </c>
      <c r="D502" s="2"/>
    </row>
    <row r="503" spans="1:4" ht="14.4" customHeight="1">
      <c r="A503" s="2">
        <f>ROW()-4</f>
        <v>499</v>
      </c>
      <c r="C503" s="2">
        <f>IF(ISBLANK($B503),-1,IFERROR(IF($B503&gt;0.9,2,IF($B503&lt;0.3,1,0)),-1))</f>
        <v>-1</v>
      </c>
      <c r="D503" s="2"/>
    </row>
    <row r="504" spans="1:4" ht="14.4" customHeight="1">
      <c r="A504" s="2">
        <f>ROW()-4</f>
        <v>500</v>
      </c>
    </row>
    <row r="505" spans="1:4" ht="14.4" customHeight="1">
      <c r="A505" s="2">
        <f>ROW()-4</f>
        <v>501</v>
      </c>
    </row>
    <row r="506" spans="1:4" ht="14.4" customHeight="1">
      <c r="A506" s="2">
        <f>ROW()-4</f>
        <v>502</v>
      </c>
    </row>
    <row r="507" spans="1:4" ht="14.4" customHeight="1">
      <c r="A507" s="2">
        <f>ROW()-4</f>
        <v>503</v>
      </c>
    </row>
  </sheetData>
  <sortState xmlns:xlrd2="http://schemas.microsoft.com/office/spreadsheetml/2017/richdata2" ref="A6:V526">
    <sortCondition descending="1" ref="C6:C1000"/>
  </sortState>
  <mergeCells count="17">
    <mergeCell ref="T4:T5"/>
    <mergeCell ref="U4:U5"/>
    <mergeCell ref="A3:P3"/>
    <mergeCell ref="D4:D5"/>
    <mergeCell ref="R4:R5"/>
    <mergeCell ref="E2:F2"/>
    <mergeCell ref="O4:Q4"/>
    <mergeCell ref="A4:A5"/>
    <mergeCell ref="B4:B5"/>
    <mergeCell ref="C4:C5"/>
    <mergeCell ref="E4:E5"/>
    <mergeCell ref="F4:F5"/>
    <mergeCell ref="G4:G5"/>
    <mergeCell ref="H4:H5"/>
    <mergeCell ref="I4:I5"/>
    <mergeCell ref="J4:J5"/>
    <mergeCell ref="K4:N4"/>
  </mergeCells>
  <phoneticPr fontId="5" type="noConversion"/>
  <conditionalFormatting sqref="A744:A1214">
    <cfRule type="expression" dxfId="13" priority="7">
      <formula>AND($B345&lt;&gt;"", $B345&lt;0.3)</formula>
    </cfRule>
    <cfRule type="expression" dxfId="12" priority="8">
      <formula>AND($B345&lt;&gt;"", $B345&gt;0.9)</formula>
    </cfRule>
  </conditionalFormatting>
  <conditionalFormatting sqref="E2:AA3">
    <cfRule type="expression" dxfId="11" priority="11">
      <formula>AND($B249&lt;&gt;"", $B249&lt;0.3)</formula>
    </cfRule>
    <cfRule type="expression" dxfId="10" priority="12">
      <formula>AND($B249&lt;&gt;"", $B249&gt;0.9)</formula>
    </cfRule>
  </conditionalFormatting>
  <conditionalFormatting sqref="A508:A618">
    <cfRule type="expression" dxfId="9" priority="17">
      <formula>AND($B234&lt;&gt;"", $B234&lt;0.3)</formula>
    </cfRule>
    <cfRule type="expression" dxfId="8" priority="18">
      <formula>AND($B234&lt;&gt;"", $B234&gt;0.9)</formula>
    </cfRule>
  </conditionalFormatting>
  <conditionalFormatting sqref="A619:A743">
    <cfRule type="expression" dxfId="7" priority="21">
      <formula>AND(#REF!&lt;&gt;"", #REF!&lt;0.3)</formula>
    </cfRule>
    <cfRule type="expression" dxfId="6" priority="22">
      <formula>AND(#REF!&lt;&gt;"", #REF!&gt;0.9)</formula>
    </cfRule>
  </conditionalFormatting>
  <conditionalFormatting sqref="A6:D814">
    <cfRule type="expression" dxfId="5" priority="1">
      <formula>AND($B6&lt;&gt;"", $B6&lt;0.3)</formula>
    </cfRule>
    <cfRule type="expression" dxfId="4" priority="4">
      <formula>AND($B6&lt;&gt;"", $B6&gt;0.9)</formula>
    </cfRule>
  </conditionalFormatting>
  <conditionalFormatting sqref="M161:U808">
    <cfRule type="expression" dxfId="3" priority="27">
      <formula>AND($B167&lt;&gt;"", $B167&lt;0.3)</formula>
    </cfRule>
    <cfRule type="expression" dxfId="2" priority="28">
      <formula>AND($B167&lt;&gt;"", $B167&gt;0.9)</formula>
    </cfRule>
  </conditionalFormatting>
  <conditionalFormatting sqref="E6:L592">
    <cfRule type="expression" dxfId="1" priority="29">
      <formula>AND($B228&lt;&gt;"", $B228&lt;0.3)</formula>
    </cfRule>
    <cfRule type="expression" dxfId="0" priority="30">
      <formula>AND($B228&lt;&gt;"", $B228&gt;0.9)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雨骏 陈</cp:lastModifiedBy>
  <dcterms:created xsi:type="dcterms:W3CDTF">2024-05-27T08:17:14Z</dcterms:created>
  <dcterms:modified xsi:type="dcterms:W3CDTF">2024-06-11T02:32:31Z</dcterms:modified>
</cp:coreProperties>
</file>