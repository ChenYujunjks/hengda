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D:\桌面\"/>
    </mc:Choice>
  </mc:AlternateContent>
  <xr:revisionPtr revIDLastSave="0" documentId="8_{D2331F20-5195-4AAC-A6F9-2E68818E855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" l="1"/>
  <c r="B8" i="1"/>
  <c r="B9" i="1"/>
  <c r="B10" i="1"/>
  <c r="C10" i="1" s="1"/>
  <c r="B11" i="1"/>
  <c r="B12" i="1"/>
  <c r="B14" i="1"/>
  <c r="C14" i="1" s="1"/>
  <c r="B15" i="1"/>
  <c r="C8" i="1"/>
  <c r="C9" i="1"/>
  <c r="C11" i="1"/>
  <c r="C12" i="1"/>
  <c r="C15" i="1"/>
  <c r="B16" i="1"/>
  <c r="C16" i="1" s="1"/>
  <c r="B17" i="1"/>
  <c r="C17" i="1" s="1"/>
  <c r="B18" i="1"/>
  <c r="C18" i="1" s="1"/>
  <c r="C6" i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Q13" i="1"/>
  <c r="P13" i="1"/>
  <c r="O13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297" i="1"/>
  <c r="R13" i="1" l="1"/>
  <c r="B299" i="1"/>
  <c r="C299" i="1" s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C306" i="1" s="1"/>
  <c r="B307" i="1"/>
  <c r="C307" i="1" s="1"/>
  <c r="B308" i="1"/>
  <c r="C308" i="1" s="1"/>
  <c r="B309" i="1"/>
  <c r="C309" i="1" s="1"/>
  <c r="B310" i="1"/>
  <c r="C310" i="1" s="1"/>
  <c r="B311" i="1"/>
  <c r="C311" i="1" s="1"/>
  <c r="B312" i="1"/>
  <c r="C312" i="1" s="1"/>
  <c r="B313" i="1"/>
  <c r="C313" i="1" s="1"/>
  <c r="B314" i="1"/>
  <c r="C314" i="1" s="1"/>
  <c r="B315" i="1"/>
  <c r="C315" i="1" s="1"/>
  <c r="B316" i="1"/>
  <c r="C316" i="1" s="1"/>
  <c r="B317" i="1"/>
  <c r="C317" i="1" s="1"/>
  <c r="B318" i="1"/>
  <c r="C318" i="1" s="1"/>
  <c r="B319" i="1"/>
  <c r="C319" i="1" s="1"/>
  <c r="B320" i="1"/>
  <c r="C320" i="1" s="1"/>
  <c r="B321" i="1"/>
  <c r="C321" i="1" s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C330" i="1" s="1"/>
  <c r="B331" i="1"/>
  <c r="C331" i="1" s="1"/>
  <c r="B332" i="1"/>
  <c r="C332" i="1" s="1"/>
  <c r="B333" i="1"/>
  <c r="C333" i="1" s="1"/>
  <c r="B334" i="1"/>
  <c r="C334" i="1" s="1"/>
  <c r="B335" i="1"/>
  <c r="C335" i="1" s="1"/>
  <c r="B336" i="1"/>
  <c r="C336" i="1" s="1"/>
  <c r="B337" i="1"/>
  <c r="C337" i="1" s="1"/>
  <c r="B338" i="1"/>
  <c r="C338" i="1" s="1"/>
  <c r="B339" i="1"/>
  <c r="C339" i="1" s="1"/>
  <c r="B340" i="1"/>
  <c r="C340" i="1" s="1"/>
  <c r="B341" i="1"/>
  <c r="C341" i="1" s="1"/>
  <c r="B342" i="1"/>
  <c r="C342" i="1" s="1"/>
  <c r="B343" i="1"/>
  <c r="C343" i="1" s="1"/>
  <c r="B344" i="1"/>
  <c r="C344" i="1" s="1"/>
  <c r="A20" i="1"/>
  <c r="A49" i="1"/>
  <c r="A50" i="1"/>
  <c r="A51" i="1"/>
  <c r="A52" i="1"/>
  <c r="A53" i="1"/>
  <c r="A54" i="1"/>
  <c r="A55" i="1"/>
  <c r="A56" i="1"/>
  <c r="A63" i="1"/>
  <c r="A57" i="1"/>
  <c r="A10" i="1"/>
  <c r="A58" i="1"/>
  <c r="A64" i="1"/>
  <c r="A65" i="1"/>
  <c r="A66" i="1"/>
  <c r="A67" i="1"/>
  <c r="A68" i="1"/>
  <c r="A59" i="1"/>
  <c r="A61" i="1"/>
  <c r="A69" i="1"/>
  <c r="A60" i="1"/>
  <c r="A70" i="1"/>
  <c r="A71" i="1"/>
  <c r="A72" i="1"/>
  <c r="A73" i="1"/>
  <c r="A75" i="1"/>
  <c r="A76" i="1"/>
  <c r="A77" i="1"/>
  <c r="A78" i="1"/>
  <c r="A79" i="1"/>
  <c r="A80" i="1"/>
  <c r="A81" i="1"/>
  <c r="A82" i="1"/>
  <c r="A83" i="1"/>
  <c r="A84" i="1"/>
  <c r="A11" i="1"/>
  <c r="A12" i="1"/>
  <c r="A85" i="1"/>
  <c r="A86" i="1"/>
  <c r="A22" i="1"/>
  <c r="A13" i="1"/>
  <c r="A87" i="1"/>
  <c r="A88" i="1"/>
  <c r="A23" i="1"/>
  <c r="A89" i="1"/>
  <c r="A90" i="1"/>
  <c r="A91" i="1"/>
  <c r="A92" i="1"/>
  <c r="A93" i="1"/>
  <c r="A14" i="1"/>
  <c r="A94" i="1"/>
  <c r="A95" i="1"/>
  <c r="A96" i="1"/>
  <c r="A97" i="1"/>
  <c r="A98" i="1"/>
  <c r="A99" i="1"/>
  <c r="A15" i="1"/>
  <c r="A100" i="1"/>
  <c r="A101" i="1"/>
  <c r="A16" i="1"/>
  <c r="A102" i="1"/>
  <c r="A103" i="1"/>
  <c r="A104" i="1"/>
  <c r="A105" i="1"/>
  <c r="A106" i="1"/>
  <c r="A17" i="1"/>
  <c r="A18" i="1"/>
  <c r="A107" i="1"/>
  <c r="A108" i="1"/>
  <c r="A109" i="1"/>
  <c r="A110" i="1"/>
  <c r="A111" i="1"/>
  <c r="A112" i="1"/>
  <c r="A113" i="1"/>
  <c r="A114" i="1"/>
  <c r="A24" i="1"/>
  <c r="A25" i="1"/>
  <c r="A115" i="1"/>
  <c r="A116" i="1"/>
  <c r="A6" i="1"/>
  <c r="A117" i="1"/>
  <c r="A118" i="1"/>
  <c r="A26" i="1"/>
  <c r="A119" i="1"/>
  <c r="A120" i="1"/>
  <c r="A19" i="1"/>
  <c r="A121" i="1"/>
  <c r="A122" i="1"/>
  <c r="A123" i="1"/>
  <c r="A124" i="1"/>
  <c r="A125" i="1"/>
  <c r="A126" i="1"/>
  <c r="A127" i="1"/>
  <c r="A128" i="1"/>
  <c r="A7" i="1"/>
  <c r="A129" i="1"/>
  <c r="A130" i="1"/>
  <c r="A131" i="1"/>
  <c r="A132" i="1"/>
  <c r="A133" i="1"/>
  <c r="A134" i="1"/>
  <c r="A32" i="1"/>
  <c r="A135" i="1"/>
  <c r="A136" i="1"/>
  <c r="A33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34" i="1"/>
  <c r="A298" i="1"/>
  <c r="A35" i="1"/>
  <c r="A152" i="1"/>
  <c r="A153" i="1"/>
  <c r="A154" i="1"/>
  <c r="A155" i="1"/>
  <c r="A156" i="1"/>
  <c r="A157" i="1"/>
  <c r="A158" i="1"/>
  <c r="A159" i="1"/>
  <c r="A36" i="1"/>
  <c r="A37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38" i="1"/>
  <c r="A172" i="1"/>
  <c r="A173" i="1"/>
  <c r="A174" i="1"/>
  <c r="A175" i="1"/>
  <c r="A176" i="1"/>
  <c r="A177" i="1"/>
  <c r="A178" i="1"/>
  <c r="A179" i="1"/>
  <c r="A180" i="1"/>
  <c r="A39" i="1"/>
  <c r="A181" i="1"/>
  <c r="A27" i="1"/>
  <c r="A182" i="1"/>
  <c r="A40" i="1"/>
  <c r="A183" i="1"/>
  <c r="A184" i="1"/>
  <c r="A185" i="1"/>
  <c r="A186" i="1"/>
  <c r="A187" i="1"/>
  <c r="A188" i="1"/>
  <c r="A189" i="1"/>
  <c r="A190" i="1"/>
  <c r="A191" i="1"/>
  <c r="A192" i="1"/>
  <c r="A28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9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30" i="1"/>
  <c r="A260" i="1"/>
  <c r="A261" i="1"/>
  <c r="A41" i="1"/>
  <c r="A42" i="1"/>
  <c r="A262" i="1"/>
  <c r="A31" i="1"/>
  <c r="A263" i="1"/>
  <c r="A264" i="1"/>
  <c r="A265" i="1"/>
  <c r="A266" i="1"/>
  <c r="A267" i="1"/>
  <c r="A268" i="1"/>
  <c r="A269" i="1"/>
  <c r="A43" i="1"/>
  <c r="A270" i="1"/>
  <c r="A271" i="1"/>
  <c r="A272" i="1"/>
  <c r="A8" i="1"/>
  <c r="A273" i="1"/>
  <c r="A274" i="1"/>
  <c r="A275" i="1"/>
  <c r="A276" i="1"/>
  <c r="A277" i="1"/>
  <c r="A278" i="1"/>
  <c r="A279" i="1"/>
  <c r="A280" i="1"/>
  <c r="A281" i="1"/>
  <c r="A44" i="1"/>
  <c r="A282" i="1"/>
  <c r="A283" i="1"/>
  <c r="A284" i="1"/>
  <c r="A285" i="1"/>
  <c r="A297" i="1"/>
  <c r="A286" i="1"/>
  <c r="A287" i="1"/>
  <c r="A9" i="1"/>
  <c r="A288" i="1"/>
  <c r="A289" i="1"/>
  <c r="A290" i="1"/>
  <c r="A45" i="1"/>
  <c r="A291" i="1"/>
  <c r="A292" i="1"/>
  <c r="A293" i="1"/>
  <c r="A294" i="1"/>
  <c r="A46" i="1"/>
  <c r="A295" i="1"/>
  <c r="A47" i="1"/>
  <c r="A296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21" i="1"/>
  <c r="A62" i="1"/>
  <c r="A74" i="1"/>
  <c r="A48" i="1"/>
  <c r="Q2" i="1"/>
  <c r="P2" i="1"/>
  <c r="O2" i="1"/>
  <c r="M2" i="1"/>
  <c r="L2" i="1"/>
  <c r="B13" i="1" l="1"/>
  <c r="C13" i="1" s="1"/>
  <c r="B276" i="1"/>
  <c r="C276" i="1" s="1"/>
  <c r="C218" i="1"/>
  <c r="C160" i="1"/>
  <c r="C203" i="1"/>
  <c r="C149" i="1"/>
  <c r="C250" i="1"/>
  <c r="C188" i="1"/>
  <c r="B289" i="1"/>
  <c r="C289" i="1" s="1"/>
  <c r="C234" i="1"/>
  <c r="C175" i="1"/>
  <c r="C113" i="1"/>
  <c r="C85" i="1"/>
  <c r="C90" i="1"/>
  <c r="C97" i="1"/>
  <c r="C103" i="1"/>
  <c r="C109" i="1"/>
  <c r="C115" i="1"/>
  <c r="C118" i="1"/>
  <c r="B286" i="1"/>
  <c r="C286" i="1" s="1"/>
  <c r="C261" i="1"/>
  <c r="C246" i="1"/>
  <c r="C230" i="1"/>
  <c r="C215" i="1"/>
  <c r="C199" i="1"/>
  <c r="C184" i="1"/>
  <c r="C158" i="1"/>
  <c r="C145" i="1"/>
  <c r="C131" i="1"/>
  <c r="C100" i="1"/>
  <c r="B295" i="1"/>
  <c r="C295" i="1" s="1"/>
  <c r="B283" i="1"/>
  <c r="C283" i="1" s="1"/>
  <c r="C258" i="1"/>
  <c r="C242" i="1"/>
  <c r="C226" i="1"/>
  <c r="C211" i="1"/>
  <c r="C195" i="1"/>
  <c r="C168" i="1"/>
  <c r="C154" i="1"/>
  <c r="C141" i="1"/>
  <c r="C128" i="1"/>
  <c r="C87" i="1"/>
  <c r="B292" i="1"/>
  <c r="C292" i="1" s="1"/>
  <c r="B280" i="1"/>
  <c r="C280" i="1" s="1"/>
  <c r="C266" i="1"/>
  <c r="C254" i="1"/>
  <c r="C238" i="1"/>
  <c r="C222" i="1"/>
  <c r="C207" i="1"/>
  <c r="C192" i="1"/>
  <c r="C179" i="1"/>
  <c r="C164" i="1"/>
  <c r="B298" i="1"/>
  <c r="C298" i="1" s="1"/>
  <c r="C137" i="1"/>
  <c r="C124" i="1"/>
  <c r="B291" i="1"/>
  <c r="C291" i="1" s="1"/>
  <c r="B288" i="1"/>
  <c r="C288" i="1" s="1"/>
  <c r="B282" i="1"/>
  <c r="C282" i="1" s="1"/>
  <c r="B279" i="1"/>
  <c r="C279" i="1" s="1"/>
  <c r="B275" i="1"/>
  <c r="C275" i="1" s="1"/>
  <c r="B272" i="1"/>
  <c r="C272" i="1" s="1"/>
  <c r="C269" i="1"/>
  <c r="C265" i="1"/>
  <c r="C262" i="1"/>
  <c r="C260" i="1"/>
  <c r="C257" i="1"/>
  <c r="C253" i="1"/>
  <c r="C249" i="1"/>
  <c r="C245" i="1"/>
  <c r="C241" i="1"/>
  <c r="C237" i="1"/>
  <c r="C233" i="1"/>
  <c r="C229" i="1"/>
  <c r="C225" i="1"/>
  <c r="C221" i="1"/>
  <c r="C217" i="1"/>
  <c r="C214" i="1"/>
  <c r="C210" i="1"/>
  <c r="C206" i="1"/>
  <c r="C202" i="1"/>
  <c r="C198" i="1"/>
  <c r="C194" i="1"/>
  <c r="C191" i="1"/>
  <c r="C187" i="1"/>
  <c r="C183" i="1"/>
  <c r="C181" i="1"/>
  <c r="C178" i="1"/>
  <c r="C174" i="1"/>
  <c r="C171" i="1"/>
  <c r="C167" i="1"/>
  <c r="C163" i="1"/>
  <c r="C157" i="1"/>
  <c r="C153" i="1"/>
  <c r="C148" i="1"/>
  <c r="C144" i="1"/>
  <c r="C140" i="1"/>
  <c r="C134" i="1"/>
  <c r="C130" i="1"/>
  <c r="C127" i="1"/>
  <c r="C123" i="1"/>
  <c r="C120" i="1"/>
  <c r="C117" i="1"/>
  <c r="C112" i="1"/>
  <c r="C108" i="1"/>
  <c r="C106" i="1"/>
  <c r="C102" i="1"/>
  <c r="C96" i="1"/>
  <c r="C93" i="1"/>
  <c r="C89" i="1"/>
  <c r="B296" i="1"/>
  <c r="C296" i="1" s="1"/>
  <c r="B294" i="1"/>
  <c r="C294" i="1" s="1"/>
  <c r="B285" i="1"/>
  <c r="C285" i="1" s="1"/>
  <c r="B278" i="1"/>
  <c r="C278" i="1" s="1"/>
  <c r="B274" i="1"/>
  <c r="C274" i="1" s="1"/>
  <c r="B271" i="1"/>
  <c r="C271" i="1" s="1"/>
  <c r="C268" i="1"/>
  <c r="C264" i="1"/>
  <c r="C256" i="1"/>
  <c r="C252" i="1"/>
  <c r="C248" i="1"/>
  <c r="C244" i="1"/>
  <c r="C240" i="1"/>
  <c r="C236" i="1"/>
  <c r="C232" i="1"/>
  <c r="C228" i="1"/>
  <c r="C224" i="1"/>
  <c r="C220" i="1"/>
  <c r="C213" i="1"/>
  <c r="C209" i="1"/>
  <c r="C205" i="1"/>
  <c r="C201" i="1"/>
  <c r="C197" i="1"/>
  <c r="C193" i="1"/>
  <c r="C190" i="1"/>
  <c r="C186" i="1"/>
  <c r="C177" i="1"/>
  <c r="C173" i="1"/>
  <c r="C170" i="1"/>
  <c r="C166" i="1"/>
  <c r="C162" i="1"/>
  <c r="C156" i="1"/>
  <c r="C152" i="1"/>
  <c r="C151" i="1"/>
  <c r="C147" i="1"/>
  <c r="C143" i="1"/>
  <c r="C139" i="1"/>
  <c r="C136" i="1"/>
  <c r="C133" i="1"/>
  <c r="C129" i="1"/>
  <c r="C126" i="1"/>
  <c r="C122" i="1"/>
  <c r="C119" i="1"/>
  <c r="C111" i="1"/>
  <c r="C107" i="1"/>
  <c r="C105" i="1"/>
  <c r="C99" i="1"/>
  <c r="C95" i="1"/>
  <c r="C92" i="1"/>
  <c r="B293" i="1"/>
  <c r="C293" i="1" s="1"/>
  <c r="B290" i="1"/>
  <c r="C290" i="1" s="1"/>
  <c r="B287" i="1"/>
  <c r="C287" i="1" s="1"/>
  <c r="B284" i="1"/>
  <c r="C284" i="1" s="1"/>
  <c r="B281" i="1"/>
  <c r="C281" i="1" s="1"/>
  <c r="B277" i="1"/>
  <c r="C277" i="1" s="1"/>
  <c r="B273" i="1"/>
  <c r="C273" i="1" s="1"/>
  <c r="B270" i="1"/>
  <c r="C270" i="1" s="1"/>
  <c r="C267" i="1"/>
  <c r="C263" i="1"/>
  <c r="C259" i="1"/>
  <c r="C255" i="1"/>
  <c r="C251" i="1"/>
  <c r="C247" i="1"/>
  <c r="C243" i="1"/>
  <c r="C239" i="1"/>
  <c r="C235" i="1"/>
  <c r="C231" i="1"/>
  <c r="C227" i="1"/>
  <c r="C223" i="1"/>
  <c r="C219" i="1"/>
  <c r="C216" i="1"/>
  <c r="C212" i="1"/>
  <c r="C208" i="1"/>
  <c r="C204" i="1"/>
  <c r="C200" i="1"/>
  <c r="C196" i="1"/>
  <c r="C189" i="1"/>
  <c r="C185" i="1"/>
  <c r="C182" i="1"/>
  <c r="C180" i="1"/>
  <c r="C176" i="1"/>
  <c r="C172" i="1"/>
  <c r="C169" i="1"/>
  <c r="C165" i="1"/>
  <c r="C161" i="1"/>
  <c r="C159" i="1"/>
  <c r="C155" i="1"/>
  <c r="C150" i="1"/>
  <c r="C146" i="1"/>
  <c r="C142" i="1"/>
  <c r="C138" i="1"/>
  <c r="C135" i="1"/>
  <c r="C132" i="1"/>
  <c r="B7" i="1"/>
  <c r="C7" i="1" s="1"/>
  <c r="C125" i="1"/>
  <c r="C121" i="1"/>
  <c r="C116" i="1"/>
  <c r="C114" i="1"/>
  <c r="C110" i="1"/>
  <c r="C104" i="1"/>
  <c r="C101" i="1"/>
  <c r="C98" i="1"/>
  <c r="C94" i="1"/>
  <c r="C91" i="1"/>
  <c r="C88" i="1"/>
  <c r="C86" i="1"/>
  <c r="R2" i="1"/>
  <c r="N2" i="1"/>
</calcChain>
</file>

<file path=xl/sharedStrings.xml><?xml version="1.0" encoding="utf-8"?>
<sst xmlns="http://schemas.openxmlformats.org/spreadsheetml/2006/main" count="89" uniqueCount="46">
  <si>
    <t>辅助列</t>
  </si>
  <si>
    <t>序号</t>
    <phoneticPr fontId="5" type="noConversion"/>
  </si>
  <si>
    <t>开票日期</t>
  </si>
  <si>
    <t>发票号码</t>
  </si>
  <si>
    <t>客户名称</t>
  </si>
  <si>
    <t>货物名称</t>
  </si>
  <si>
    <t>型号</t>
  </si>
  <si>
    <t>备注软件名称</t>
  </si>
  <si>
    <t>本月所有开票金额</t>
  </si>
  <si>
    <t>单位成本</t>
  </si>
  <si>
    <t>硬件成本</t>
  </si>
  <si>
    <t>成本率</t>
  </si>
  <si>
    <t>毛利率</t>
  </si>
  <si>
    <t>数量</t>
  </si>
  <si>
    <t>不含税金额</t>
  </si>
  <si>
    <t>税额</t>
  </si>
  <si>
    <t>合计</t>
  </si>
  <si>
    <t>材料成本</t>
  </si>
  <si>
    <t>人工成本</t>
  </si>
  <si>
    <t>制造费用</t>
  </si>
  <si>
    <t>备注摘要</t>
  </si>
  <si>
    <t>成本/不含税金额</t>
    <phoneticPr fontId="5" type="noConversion"/>
  </si>
  <si>
    <t>2024.4.9</t>
  </si>
  <si>
    <t>94593669</t>
  </si>
  <si>
    <t>浙江海得新能源有限公司</t>
  </si>
  <si>
    <t>变流升压一体机</t>
  </si>
  <si>
    <t>广天箱式变电站成套装置控制软件V1.0</t>
  </si>
  <si>
    <t>94613665</t>
  </si>
  <si>
    <t>94645528</t>
  </si>
  <si>
    <t>深圳市禾望科技有限公司</t>
  </si>
  <si>
    <t>储能系统一体机</t>
  </si>
  <si>
    <t>2024.4.17</t>
  </si>
  <si>
    <t>04221550</t>
  </si>
  <si>
    <t>西安汇川技术有限公司</t>
  </si>
  <si>
    <t>04283508</t>
  </si>
  <si>
    <t>北京天诚同创电气有限公司</t>
  </si>
  <si>
    <t>2024.4.24</t>
  </si>
  <si>
    <t>13871988</t>
  </si>
  <si>
    <t>湖州宇征建设有限公司</t>
  </si>
  <si>
    <t>箱式变压器</t>
  </si>
  <si>
    <t>2024.4.29</t>
  </si>
  <si>
    <t>22042548</t>
  </si>
  <si>
    <t>北京天诚同创电气有限公司分公司</t>
  </si>
  <si>
    <t>20608801</t>
  </si>
  <si>
    <t>3.125MW集中式油变一体机</t>
  </si>
  <si>
    <r>
      <rPr>
        <b/>
        <sz val="12"/>
        <color theme="1"/>
        <rFont val="微软雅黑"/>
        <family val="2"/>
        <charset val="134"/>
      </rPr>
      <t xml:space="preserve">恒达富士电梯有限公司
</t>
    </r>
    <r>
      <rPr>
        <b/>
        <sz val="12"/>
        <color theme="1"/>
        <rFont val="Arial"/>
        <family val="2"/>
        <scheme val="minor"/>
      </rPr>
      <t>2024</t>
    </r>
    <r>
      <rPr>
        <b/>
        <sz val="12"/>
        <color theme="1"/>
        <rFont val="微软雅黑"/>
        <family val="2"/>
        <charset val="134"/>
      </rPr>
      <t>年</t>
    </r>
    <r>
      <rPr>
        <b/>
        <sz val="12"/>
        <color theme="1"/>
        <rFont val="Arial"/>
        <family val="2"/>
        <scheme val="minor"/>
      </rPr>
      <t>04</t>
    </r>
    <r>
      <rPr>
        <b/>
        <sz val="12"/>
        <color theme="1"/>
        <rFont val="微软雅黑"/>
        <family val="2"/>
        <charset val="134"/>
      </rPr>
      <t>月份嵌入式软件即征即退销售成本分配表</t>
    </r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</si>
</sst>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0.0%"/>
    <numFmt numFmtId="177" formatCode="#,##0.00_ "/>
  </numFmts>
  <fonts count="28">
    <font>
      <sz val="10"/>
      <color rgb="FF000000"/>
      <name val="Arial"/>
      <scheme val="minor"/>
    </font>
    <font>
      <b/>
      <sz val="9"/>
      <color theme="1"/>
      <name val="SimSun"/>
      <charset val="134"/>
    </font>
    <font>
      <sz val="10"/>
      <name val="Arial"/>
      <family val="2"/>
    </font>
    <font>
      <sz val="12"/>
      <color theme="1"/>
      <name val="Calibri"/>
      <family val="2"/>
    </font>
    <font>
      <sz val="10"/>
      <color theme="1"/>
      <name val="Arial"/>
      <family val="2"/>
      <scheme val="minor"/>
    </font>
    <font>
      <sz val="9"/>
      <name val="Arial"/>
      <family val="3"/>
      <charset val="134"/>
      <scheme val="minor"/>
    </font>
    <font>
      <b/>
      <i/>
      <sz val="10"/>
      <color rgb="FF38761D"/>
      <name val="SimSun"/>
      <charset val="134"/>
    </font>
    <font>
      <b/>
      <i/>
      <sz val="10"/>
      <name val="Arial"/>
      <family val="2"/>
    </font>
    <font>
      <sz val="10"/>
      <color rgb="FF000000"/>
      <name val="Arial"/>
      <family val="2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theme="1"/>
      <name val="Arial"/>
      <family val="3"/>
      <charset val="134"/>
      <scheme val="minor"/>
    </font>
    <font>
      <sz val="10"/>
      <name val="Arial"/>
      <family val="3"/>
      <charset val="134"/>
      <scheme val="minor"/>
    </font>
    <font>
      <b/>
      <sz val="10"/>
      <name val="Arial"/>
      <family val="3"/>
      <charset val="134"/>
      <scheme val="minor"/>
    </font>
    <font>
      <sz val="10"/>
      <name val="宋体"/>
      <family val="3"/>
      <charset val="134"/>
    </font>
    <font>
      <sz val="10"/>
      <color theme="1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color theme="1"/>
      <name val="宋体"/>
      <family val="3"/>
      <charset val="134"/>
    </font>
    <font>
      <b/>
      <sz val="12"/>
      <name val="宋体"/>
      <family val="3"/>
      <charset val="134"/>
    </font>
    <font>
      <b/>
      <sz val="9"/>
      <name val="宋体"/>
      <family val="3"/>
      <charset val="134"/>
    </font>
    <font>
      <sz val="10"/>
      <color rgb="FFFF0000"/>
      <name val="宋体"/>
      <family val="3"/>
      <charset val="134"/>
    </font>
    <font>
      <sz val="10"/>
      <color rgb="FFFF0000"/>
      <name val="Arial"/>
      <family val="3"/>
      <charset val="134"/>
      <scheme val="minor"/>
    </font>
    <font>
      <b/>
      <sz val="12"/>
      <color theme="1"/>
      <name val="Arial"/>
      <family val="3"/>
      <charset val="134"/>
      <scheme val="minor"/>
    </font>
    <font>
      <b/>
      <sz val="10"/>
      <name val="SimSun"/>
      <charset val="134"/>
    </font>
    <font>
      <b/>
      <sz val="12"/>
      <color theme="1"/>
      <name val="微软雅黑"/>
      <family val="2"/>
      <charset val="134"/>
    </font>
    <font>
      <b/>
      <sz val="12"/>
      <color theme="1"/>
      <name val="Arial"/>
      <family val="2"/>
      <charset val="134"/>
      <scheme val="minor"/>
    </font>
    <font>
      <b/>
      <sz val="12"/>
      <color theme="1"/>
      <name val="Aria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79995117038483843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auto="1"/>
      </right>
      <top/>
      <bottom/>
      <diagonal/>
    </border>
  </borders>
  <cellStyleXfs count="3">
    <xf numFmtId="0" fontId="0" fillId="0" borderId="0"/>
    <xf numFmtId="43" fontId="8" fillId="0" borderId="0" applyFont="0" applyFill="0" applyBorder="0" applyAlignment="0" applyProtection="0">
      <alignment vertical="center"/>
    </xf>
    <xf numFmtId="0" fontId="10" fillId="0" borderId="0">
      <alignment vertical="center"/>
    </xf>
  </cellStyleXfs>
  <cellXfs count="104">
    <xf numFmtId="0" fontId="0" fillId="0" borderId="0" xfId="0"/>
    <xf numFmtId="0" fontId="3" fillId="2" borderId="0" xfId="0" applyFont="1" applyFill="1"/>
    <xf numFmtId="0" fontId="4" fillId="0" borderId="0" xfId="0" applyFont="1"/>
    <xf numFmtId="0" fontId="0" fillId="3" borderId="0" xfId="0" applyFill="1" applyAlignment="1">
      <alignment vertical="center"/>
    </xf>
    <xf numFmtId="0" fontId="11" fillId="3" borderId="5" xfId="2" applyFont="1" applyFill="1" applyBorder="1" applyAlignment="1">
      <alignment horizontal="center" vertical="center"/>
    </xf>
    <xf numFmtId="43" fontId="13" fillId="3" borderId="5" xfId="1" applyFont="1" applyFill="1" applyBorder="1" applyAlignment="1">
      <alignment horizontal="center" vertical="center"/>
    </xf>
    <xf numFmtId="0" fontId="0" fillId="3" borderId="5" xfId="0" applyFill="1" applyBorder="1" applyAlignment="1">
      <alignment vertical="center"/>
    </xf>
    <xf numFmtId="43" fontId="11" fillId="3" borderId="5" xfId="1" applyFont="1" applyFill="1" applyBorder="1" applyAlignment="1">
      <alignment vertical="center"/>
    </xf>
    <xf numFmtId="43" fontId="11" fillId="3" borderId="5" xfId="1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vertical="center"/>
    </xf>
    <xf numFmtId="0" fontId="15" fillId="3" borderId="0" xfId="0" applyFont="1" applyFill="1" applyAlignment="1">
      <alignment vertical="center"/>
    </xf>
    <xf numFmtId="0" fontId="15" fillId="0" borderId="5" xfId="0" applyFont="1" applyBorder="1" applyAlignment="1">
      <alignment horizontal="center" vertical="center"/>
    </xf>
    <xf numFmtId="0" fontId="16" fillId="3" borderId="5" xfId="2" quotePrefix="1" applyFont="1" applyFill="1" applyBorder="1" applyAlignment="1">
      <alignment horizontal="center" vertical="center"/>
    </xf>
    <xf numFmtId="0" fontId="16" fillId="0" borderId="5" xfId="0" applyFont="1" applyBorder="1" applyAlignment="1">
      <alignment vertical="center"/>
    </xf>
    <xf numFmtId="0" fontId="16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vertical="center"/>
    </xf>
    <xf numFmtId="0" fontId="16" fillId="3" borderId="5" xfId="0" applyFont="1" applyFill="1" applyBorder="1" applyAlignment="1">
      <alignment vertical="center"/>
    </xf>
    <xf numFmtId="43" fontId="15" fillId="0" borderId="5" xfId="1" applyFont="1" applyBorder="1" applyAlignment="1">
      <alignment horizontal="center" vertical="center"/>
    </xf>
    <xf numFmtId="43" fontId="15" fillId="0" borderId="5" xfId="1" applyFont="1" applyBorder="1">
      <alignment vertical="center"/>
    </xf>
    <xf numFmtId="176" fontId="0" fillId="3" borderId="5" xfId="0" applyNumberFormat="1" applyFill="1" applyBorder="1" applyAlignment="1">
      <alignment horizontal="center" vertical="center"/>
    </xf>
    <xf numFmtId="10" fontId="0" fillId="3" borderId="5" xfId="0" applyNumberFormat="1" applyFill="1" applyBorder="1" applyAlignment="1">
      <alignment horizontal="center" vertical="center"/>
    </xf>
    <xf numFmtId="43" fontId="0" fillId="3" borderId="0" xfId="0" applyNumberFormat="1" applyFill="1" applyAlignment="1">
      <alignment vertical="center"/>
    </xf>
    <xf numFmtId="177" fontId="15" fillId="0" borderId="5" xfId="0" applyNumberFormat="1" applyFont="1" applyBorder="1" applyAlignment="1">
      <alignment horizontal="center" vertical="center"/>
    </xf>
    <xf numFmtId="0" fontId="17" fillId="3" borderId="5" xfId="0" applyFont="1" applyFill="1" applyBorder="1" applyAlignment="1">
      <alignment vertical="center"/>
    </xf>
    <xf numFmtId="176" fontId="17" fillId="3" borderId="5" xfId="0" applyNumberFormat="1" applyFont="1" applyFill="1" applyBorder="1" applyAlignment="1">
      <alignment horizontal="center" vertical="center"/>
    </xf>
    <xf numFmtId="10" fontId="17" fillId="3" borderId="5" xfId="0" applyNumberFormat="1" applyFont="1" applyFill="1" applyBorder="1" applyAlignment="1">
      <alignment horizontal="center" vertical="center"/>
    </xf>
    <xf numFmtId="0" fontId="15" fillId="3" borderId="5" xfId="2" applyFont="1" applyFill="1" applyBorder="1" applyAlignment="1">
      <alignment horizontal="center" vertical="center"/>
    </xf>
    <xf numFmtId="0" fontId="9" fillId="0" borderId="5" xfId="0" applyFont="1" applyBorder="1" applyAlignment="1">
      <alignment vertical="center"/>
    </xf>
    <xf numFmtId="0" fontId="18" fillId="3" borderId="5" xfId="0" applyFont="1" applyFill="1" applyBorder="1" applyAlignment="1">
      <alignment vertical="center"/>
    </xf>
    <xf numFmtId="176" fontId="18" fillId="3" borderId="5" xfId="0" applyNumberFormat="1" applyFont="1" applyFill="1" applyBorder="1" applyAlignment="1">
      <alignment horizontal="center" vertical="center"/>
    </xf>
    <xf numFmtId="10" fontId="18" fillId="3" borderId="5" xfId="0" applyNumberFormat="1" applyFont="1" applyFill="1" applyBorder="1" applyAlignment="1">
      <alignment horizontal="center" vertical="center"/>
    </xf>
    <xf numFmtId="0" fontId="9" fillId="3" borderId="5" xfId="0" applyFont="1" applyFill="1" applyBorder="1" applyAlignment="1">
      <alignment vertical="center"/>
    </xf>
    <xf numFmtId="43" fontId="15" fillId="0" borderId="5" xfId="1" applyFont="1" applyBorder="1" applyAlignment="1">
      <alignment vertical="center"/>
    </xf>
    <xf numFmtId="0" fontId="19" fillId="4" borderId="5" xfId="0" applyFont="1" applyFill="1" applyBorder="1" applyAlignment="1">
      <alignment horizontal="center" vertical="center"/>
    </xf>
    <xf numFmtId="0" fontId="20" fillId="4" borderId="5" xfId="0" applyFont="1" applyFill="1" applyBorder="1" applyAlignment="1">
      <alignment vertical="center"/>
    </xf>
    <xf numFmtId="0" fontId="19" fillId="4" borderId="5" xfId="0" applyFont="1" applyFill="1" applyBorder="1" applyAlignment="1">
      <alignment vertical="center"/>
    </xf>
    <xf numFmtId="43" fontId="11" fillId="4" borderId="5" xfId="0" applyNumberFormat="1" applyFont="1" applyFill="1" applyBorder="1" applyAlignment="1">
      <alignment vertical="center" shrinkToFit="1"/>
    </xf>
    <xf numFmtId="43" fontId="11" fillId="4" borderId="5" xfId="0" applyNumberFormat="1" applyFont="1" applyFill="1" applyBorder="1" applyAlignment="1">
      <alignment horizontal="right" vertical="center" shrinkToFit="1"/>
    </xf>
    <xf numFmtId="43" fontId="15" fillId="3" borderId="5" xfId="1" applyFont="1" applyFill="1" applyBorder="1">
      <alignment vertical="center"/>
    </xf>
    <xf numFmtId="43" fontId="4" fillId="0" borderId="0" xfId="0" applyNumberFormat="1" applyFont="1"/>
    <xf numFmtId="14" fontId="16" fillId="0" borderId="0" xfId="0" quotePrefix="1" applyNumberFormat="1" applyFont="1" applyAlignment="1">
      <alignment horizontal="center" vertical="center"/>
    </xf>
    <xf numFmtId="0" fontId="15" fillId="3" borderId="0" xfId="2" applyFont="1" applyFill="1" applyAlignment="1">
      <alignment horizontal="center" vertical="center"/>
    </xf>
    <xf numFmtId="0" fontId="9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3" borderId="0" xfId="0" applyFont="1" applyFill="1" applyAlignment="1">
      <alignment vertical="center"/>
    </xf>
    <xf numFmtId="0" fontId="15" fillId="0" borderId="0" xfId="0" applyFont="1" applyAlignment="1">
      <alignment horizontal="center" vertical="center"/>
    </xf>
    <xf numFmtId="177" fontId="15" fillId="0" borderId="0" xfId="0" applyNumberFormat="1" applyFont="1" applyAlignment="1">
      <alignment horizontal="center" vertical="center"/>
    </xf>
    <xf numFmtId="43" fontId="15" fillId="0" borderId="0" xfId="1" applyFont="1" applyBorder="1">
      <alignment vertical="center"/>
    </xf>
    <xf numFmtId="43" fontId="15" fillId="0" borderId="0" xfId="1" applyFont="1" applyBorder="1" applyAlignment="1">
      <alignment horizontal="center" vertical="center"/>
    </xf>
    <xf numFmtId="176" fontId="0" fillId="3" borderId="0" xfId="0" applyNumberFormat="1" applyFill="1" applyAlignment="1">
      <alignment horizontal="center" vertical="center"/>
    </xf>
    <xf numFmtId="10" fontId="0" fillId="3" borderId="0" xfId="0" applyNumberFormat="1" applyFill="1" applyAlignment="1">
      <alignment horizontal="center" vertical="center"/>
    </xf>
    <xf numFmtId="49" fontId="16" fillId="0" borderId="5" xfId="2" applyNumberFormat="1" applyFont="1" applyBorder="1" applyAlignment="1">
      <alignment horizontal="center" vertical="center"/>
    </xf>
    <xf numFmtId="49" fontId="16" fillId="3" borderId="5" xfId="2" applyNumberFormat="1" applyFont="1" applyFill="1" applyBorder="1" applyAlignment="1">
      <alignment horizontal="center" vertical="center"/>
    </xf>
    <xf numFmtId="0" fontId="16" fillId="0" borderId="5" xfId="2" applyFont="1" applyBorder="1">
      <alignment vertical="center"/>
    </xf>
    <xf numFmtId="0" fontId="15" fillId="0" borderId="5" xfId="2" applyFont="1" applyBorder="1">
      <alignment vertical="center"/>
    </xf>
    <xf numFmtId="0" fontId="16" fillId="3" borderId="5" xfId="2" applyFont="1" applyFill="1" applyBorder="1">
      <alignment vertical="center"/>
    </xf>
    <xf numFmtId="0" fontId="16" fillId="0" borderId="5" xfId="2" applyFont="1" applyBorder="1" applyAlignment="1">
      <alignment horizontal="center" vertical="center"/>
    </xf>
    <xf numFmtId="177" fontId="16" fillId="0" borderId="5" xfId="2" applyNumberFormat="1" applyFont="1" applyBorder="1">
      <alignment vertical="center"/>
    </xf>
    <xf numFmtId="43" fontId="13" fillId="3" borderId="5" xfId="1" applyFont="1" applyFill="1" applyBorder="1" applyAlignment="1">
      <alignment vertical="center"/>
    </xf>
    <xf numFmtId="177" fontId="21" fillId="0" borderId="5" xfId="2" applyNumberFormat="1" applyFont="1" applyBorder="1">
      <alignment vertical="center"/>
    </xf>
    <xf numFmtId="43" fontId="21" fillId="0" borderId="5" xfId="1" applyFont="1" applyBorder="1">
      <alignment vertical="center"/>
    </xf>
    <xf numFmtId="43" fontId="21" fillId="0" borderId="5" xfId="1" applyFont="1" applyBorder="1" applyAlignment="1">
      <alignment vertical="center"/>
    </xf>
    <xf numFmtId="43" fontId="22" fillId="3" borderId="5" xfId="1" applyFont="1" applyFill="1" applyBorder="1" applyAlignment="1">
      <alignment vertical="center"/>
    </xf>
    <xf numFmtId="177" fontId="16" fillId="3" borderId="5" xfId="2" applyNumberFormat="1" applyFont="1" applyFill="1" applyBorder="1">
      <alignment vertical="center"/>
    </xf>
    <xf numFmtId="43" fontId="15" fillId="3" borderId="5" xfId="1" applyFont="1" applyFill="1" applyBorder="1" applyAlignment="1">
      <alignment vertical="center"/>
    </xf>
    <xf numFmtId="49" fontId="16" fillId="0" borderId="0" xfId="2" applyNumberFormat="1" applyFont="1" applyAlignment="1">
      <alignment horizontal="center" vertical="center"/>
    </xf>
    <xf numFmtId="49" fontId="16" fillId="3" borderId="0" xfId="2" applyNumberFormat="1" applyFont="1" applyFill="1" applyAlignment="1">
      <alignment horizontal="center" vertical="center"/>
    </xf>
    <xf numFmtId="0" fontId="16" fillId="0" borderId="0" xfId="2" applyFont="1">
      <alignment vertical="center"/>
    </xf>
    <xf numFmtId="0" fontId="16" fillId="3" borderId="0" xfId="2" applyFont="1" applyFill="1">
      <alignment vertical="center"/>
    </xf>
    <xf numFmtId="0" fontId="15" fillId="0" borderId="0" xfId="2" applyFont="1">
      <alignment vertical="center"/>
    </xf>
    <xf numFmtId="0" fontId="16" fillId="0" borderId="0" xfId="2" applyFont="1" applyAlignment="1">
      <alignment horizontal="center" vertical="center"/>
    </xf>
    <xf numFmtId="177" fontId="16" fillId="0" borderId="0" xfId="2" applyNumberFormat="1" applyFont="1">
      <alignment vertical="center"/>
    </xf>
    <xf numFmtId="43" fontId="15" fillId="0" borderId="0" xfId="1" applyFont="1" applyBorder="1" applyAlignment="1">
      <alignment vertical="center"/>
    </xf>
    <xf numFmtId="43" fontId="13" fillId="3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0" fontId="15" fillId="3" borderId="5" xfId="0" applyFont="1" applyFill="1" applyBorder="1" applyAlignment="1">
      <alignment horizontal="center" vertical="center"/>
    </xf>
    <xf numFmtId="49" fontId="16" fillId="0" borderId="9" xfId="2" applyNumberFormat="1" applyFont="1" applyBorder="1" applyAlignment="1">
      <alignment horizontal="center" vertical="center"/>
    </xf>
    <xf numFmtId="49" fontId="16" fillId="3" borderId="9" xfId="2" applyNumberFormat="1" applyFont="1" applyFill="1" applyBorder="1" applyAlignment="1">
      <alignment horizontal="center" vertical="center"/>
    </xf>
    <xf numFmtId="14" fontId="16" fillId="0" borderId="9" xfId="0" quotePrefix="1" applyNumberFormat="1" applyFont="1" applyBorder="1" applyAlignment="1">
      <alignment horizontal="center" vertical="center"/>
    </xf>
    <xf numFmtId="0" fontId="4" fillId="0" borderId="5" xfId="0" applyFont="1" applyBorder="1"/>
    <xf numFmtId="176" fontId="15" fillId="3" borderId="6" xfId="0" applyNumberFormat="1" applyFont="1" applyFill="1" applyBorder="1" applyAlignment="1">
      <alignment horizontal="center" vertical="center"/>
    </xf>
    <xf numFmtId="176" fontId="15" fillId="3" borderId="7" xfId="0" applyNumberFormat="1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7" xfId="0" applyFont="1" applyFill="1" applyBorder="1" applyAlignment="1">
      <alignment horizontal="center" vertical="center"/>
    </xf>
    <xf numFmtId="0" fontId="26" fillId="3" borderId="5" xfId="0" applyFont="1" applyFill="1" applyBorder="1" applyAlignment="1">
      <alignment horizontal="center" vertical="center" wrapText="1"/>
    </xf>
    <xf numFmtId="0" fontId="23" fillId="3" borderId="5" xfId="0" applyFont="1" applyFill="1" applyBorder="1" applyAlignment="1">
      <alignment horizontal="center" vertical="center"/>
    </xf>
    <xf numFmtId="0" fontId="23" fillId="3" borderId="6" xfId="0" applyFont="1" applyFill="1" applyBorder="1" applyAlignment="1">
      <alignment horizontal="center" vertical="center"/>
    </xf>
    <xf numFmtId="43" fontId="23" fillId="3" borderId="6" xfId="1" applyFont="1" applyFill="1" applyBorder="1" applyAlignment="1">
      <alignment horizontal="center" vertical="center"/>
    </xf>
    <xf numFmtId="0" fontId="24" fillId="2" borderId="10" xfId="0" applyFont="1" applyFill="1" applyBorder="1" applyAlignment="1">
      <alignment horizontal="center" vertical="center"/>
    </xf>
    <xf numFmtId="0" fontId="24" fillId="2" borderId="11" xfId="0" applyFont="1" applyFill="1" applyBorder="1" applyAlignment="1">
      <alignment horizontal="center" vertical="center"/>
    </xf>
    <xf numFmtId="43" fontId="14" fillId="3" borderId="5" xfId="1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/>
    </xf>
    <xf numFmtId="0" fontId="11" fillId="4" borderId="9" xfId="0" applyFont="1" applyFill="1" applyBorder="1" applyAlignment="1">
      <alignment horizontal="center" vertical="center"/>
    </xf>
    <xf numFmtId="43" fontId="13" fillId="3" borderId="5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2" fillId="0" borderId="4" xfId="0" applyFont="1" applyBorder="1"/>
    <xf numFmtId="0" fontId="1" fillId="2" borderId="2" xfId="0" applyFont="1" applyFill="1" applyBorder="1" applyAlignment="1">
      <alignment horizontal="left"/>
    </xf>
    <xf numFmtId="0" fontId="2" fillId="0" borderId="3" xfId="0" applyFont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0" fontId="7" fillId="0" borderId="3" xfId="0" applyFont="1" applyBorder="1"/>
    <xf numFmtId="0" fontId="11" fillId="3" borderId="5" xfId="2" applyFont="1" applyFill="1" applyBorder="1" applyAlignment="1">
      <alignment horizontal="center" vertical="center"/>
    </xf>
    <xf numFmtId="0" fontId="11" fillId="3" borderId="5" xfId="2" applyFont="1" applyFill="1" applyBorder="1" applyAlignment="1">
      <alignment horizontal="center" vertical="center" shrinkToFit="1"/>
    </xf>
    <xf numFmtId="0" fontId="12" fillId="3" borderId="5" xfId="0" applyFont="1" applyFill="1" applyBorder="1" applyAlignment="1">
      <alignment horizontal="center" vertical="center"/>
    </xf>
    <xf numFmtId="0" fontId="16" fillId="3" borderId="5" xfId="2" applyNumberFormat="1" applyFont="1" applyFill="1" applyBorder="1" applyAlignment="1">
      <alignment horizontal="center" vertical="center"/>
    </xf>
  </cellXfs>
  <cellStyles count="3">
    <cellStyle name="常规" xfId="0" builtinId="0"/>
    <cellStyle name="常规 2" xfId="2" xr:uid="{BA36B600-ED24-4B55-8AD1-4D151D9E4E98}"/>
    <cellStyle name="千位分隔" xfId="1" builtinId="3"/>
  </cellStyles>
  <dxfs count="10">
    <dxf>
      <fill>
        <patternFill patternType="solid">
          <fgColor rgb="FFF4CCCC"/>
          <bgColor rgb="FFF4CCCC"/>
        </patternFill>
      </fill>
    </dxf>
    <dxf>
      <fill>
        <patternFill>
          <bgColor theme="7" tint="0.59996337778862885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2:BK507"/>
  <sheetViews>
    <sheetView tabSelected="1" topLeftCell="A3" workbookViewId="0">
      <selection activeCell="B6" sqref="B6"/>
    </sheetView>
  </sheetViews>
  <sheetFormatPr defaultColWidth="12.6640625" defaultRowHeight="14.4" customHeight="1"/>
  <cols>
    <col min="1" max="1" width="4.33203125" customWidth="1"/>
    <col min="3" max="3" width="12" customWidth="1"/>
    <col min="4" max="4" width="6.21875" customWidth="1"/>
    <col min="5" max="5" width="29.21875" customWidth="1"/>
    <col min="7" max="7" width="24.21875" customWidth="1"/>
    <col min="8" max="8" width="18.33203125" customWidth="1"/>
    <col min="9" max="9" width="6.5546875" customWidth="1"/>
    <col min="10" max="10" width="35.44140625" customWidth="1"/>
    <col min="11" max="11" width="7.109375" customWidth="1"/>
    <col min="12" max="12" width="16.44140625" customWidth="1"/>
    <col min="14" max="14" width="16.5546875" customWidth="1"/>
    <col min="15" max="15" width="16.77734375" customWidth="1"/>
    <col min="18" max="18" width="15.21875" customWidth="1"/>
  </cols>
  <sheetData>
    <row r="2" spans="1:63" ht="14.4" customHeight="1">
      <c r="E2" s="91" t="s">
        <v>16</v>
      </c>
      <c r="F2" s="92"/>
      <c r="G2" s="34"/>
      <c r="H2" s="33"/>
      <c r="I2" s="35"/>
      <c r="J2" s="35"/>
      <c r="K2" s="35"/>
      <c r="L2" s="36">
        <f t="shared" ref="L2:R2" si="0">SUM(L6:L248)</f>
        <v>7701769.9100000011</v>
      </c>
      <c r="M2" s="36">
        <f t="shared" si="0"/>
        <v>1001212.0900000001</v>
      </c>
      <c r="N2" s="37">
        <f t="shared" si="0"/>
        <v>8702982</v>
      </c>
      <c r="O2" s="37">
        <f t="shared" si="0"/>
        <v>2063291.4000000001</v>
      </c>
      <c r="P2" s="37">
        <f t="shared" si="0"/>
        <v>412658.28</v>
      </c>
      <c r="Q2" s="37">
        <f t="shared" si="0"/>
        <v>275105.51666666666</v>
      </c>
      <c r="R2" s="37">
        <f t="shared" si="0"/>
        <v>5594120.9766666666</v>
      </c>
      <c r="S2" s="3"/>
      <c r="T2" s="3"/>
      <c r="U2" s="3"/>
      <c r="V2" s="3"/>
    </row>
    <row r="3" spans="1:63" s="74" customFormat="1" ht="14.4" customHeight="1">
      <c r="A3" s="84" t="s">
        <v>45</v>
      </c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6"/>
      <c r="N3" s="86"/>
      <c r="O3" s="86"/>
      <c r="P3" s="87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</row>
    <row r="4" spans="1:63" ht="14.4" customHeight="1">
      <c r="A4" s="94" t="s">
        <v>1</v>
      </c>
      <c r="B4" s="96" t="s">
        <v>21</v>
      </c>
      <c r="C4" s="98" t="s">
        <v>0</v>
      </c>
      <c r="D4" s="88" t="s">
        <v>1</v>
      </c>
      <c r="E4" s="100" t="s">
        <v>2</v>
      </c>
      <c r="F4" s="100" t="s">
        <v>3</v>
      </c>
      <c r="G4" s="101" t="s">
        <v>4</v>
      </c>
      <c r="H4" s="101" t="s">
        <v>5</v>
      </c>
      <c r="I4" s="101" t="s">
        <v>6</v>
      </c>
      <c r="J4" s="101" t="s">
        <v>7</v>
      </c>
      <c r="K4" s="102" t="s">
        <v>8</v>
      </c>
      <c r="L4" s="102"/>
      <c r="M4" s="102"/>
      <c r="N4" s="102"/>
      <c r="O4" s="93" t="s">
        <v>9</v>
      </c>
      <c r="P4" s="93"/>
      <c r="Q4" s="93"/>
      <c r="R4" s="90" t="s">
        <v>10</v>
      </c>
      <c r="S4" s="6"/>
      <c r="T4" s="80" t="s">
        <v>11</v>
      </c>
      <c r="U4" s="82" t="s">
        <v>12</v>
      </c>
      <c r="V4" s="3"/>
      <c r="W4" s="1"/>
      <c r="X4" s="1"/>
      <c r="Y4" s="1"/>
      <c r="Z4" s="1"/>
      <c r="AA4" s="1"/>
      <c r="AB4" s="1"/>
      <c r="AC4" s="1"/>
      <c r="AD4" s="1"/>
    </row>
    <row r="5" spans="1:63" ht="14.4" customHeight="1">
      <c r="A5" s="95"/>
      <c r="B5" s="97"/>
      <c r="C5" s="99"/>
      <c r="D5" s="89"/>
      <c r="E5" s="100"/>
      <c r="F5" s="100"/>
      <c r="G5" s="101"/>
      <c r="H5" s="101"/>
      <c r="I5" s="101"/>
      <c r="J5" s="101"/>
      <c r="K5" s="4" t="s">
        <v>13</v>
      </c>
      <c r="L5" s="7" t="s">
        <v>14</v>
      </c>
      <c r="M5" s="7" t="s">
        <v>15</v>
      </c>
      <c r="N5" s="8" t="s">
        <v>16</v>
      </c>
      <c r="O5" s="5" t="s">
        <v>17</v>
      </c>
      <c r="P5" s="5" t="s">
        <v>18</v>
      </c>
      <c r="Q5" s="5" t="s">
        <v>19</v>
      </c>
      <c r="R5" s="90"/>
      <c r="S5" s="75" t="s">
        <v>20</v>
      </c>
      <c r="T5" s="81"/>
      <c r="U5" s="83"/>
      <c r="V5" s="10"/>
      <c r="W5" s="1"/>
      <c r="X5" s="1"/>
      <c r="Y5" s="1"/>
      <c r="Z5" s="1"/>
      <c r="AA5" s="1"/>
      <c r="AB5" s="1"/>
      <c r="AC5" s="1"/>
      <c r="AD5" s="1"/>
    </row>
    <row r="6" spans="1:63" ht="14.4" customHeight="1">
      <c r="A6" s="2">
        <f>ROW()-4</f>
        <v>2</v>
      </c>
      <c r="B6" s="39">
        <f>R6/L6</f>
        <v>0.90164954289893118</v>
      </c>
      <c r="C6" s="2">
        <f>IF(ISBLANK($B6),-1,IFERROR(IF($B6&gt;0.9,2,IF($B6&lt;0.3,1,0)),-1))</f>
        <v>2</v>
      </c>
      <c r="D6" s="11">
        <v>13</v>
      </c>
      <c r="E6" s="51" t="s">
        <v>40</v>
      </c>
      <c r="F6" s="52" t="s">
        <v>43</v>
      </c>
      <c r="G6" s="53" t="s">
        <v>29</v>
      </c>
      <c r="H6" s="53" t="s">
        <v>44</v>
      </c>
      <c r="I6" s="54"/>
      <c r="J6" s="55" t="s">
        <v>26</v>
      </c>
      <c r="K6" s="56">
        <v>10</v>
      </c>
      <c r="L6" s="57">
        <v>1929203.54</v>
      </c>
      <c r="M6" s="57">
        <v>250796.46</v>
      </c>
      <c r="N6" s="18">
        <v>2180000</v>
      </c>
      <c r="O6" s="32">
        <v>130459.91</v>
      </c>
      <c r="P6" s="32">
        <v>26091.98</v>
      </c>
      <c r="Q6" s="58">
        <v>17394.66</v>
      </c>
      <c r="R6" s="32">
        <v>1739465.49</v>
      </c>
      <c r="S6" s="28"/>
      <c r="T6" s="29"/>
      <c r="U6" s="30"/>
    </row>
    <row r="7" spans="1:63" ht="14.4" customHeight="1">
      <c r="A7" s="2">
        <f>ROW()-4</f>
        <v>3</v>
      </c>
      <c r="B7" s="39">
        <f>R7/L7</f>
        <v>0.5983631750819316</v>
      </c>
      <c r="C7" s="2">
        <f>IF(ISBLANK($B7),-1,IFERROR(IF($B7&gt;0.9,2,IF($B7&lt;0.3,1,0)),-1))</f>
        <v>0</v>
      </c>
      <c r="D7" s="11">
        <v>1</v>
      </c>
      <c r="E7" s="51" t="s">
        <v>22</v>
      </c>
      <c r="F7" s="52" t="s">
        <v>23</v>
      </c>
      <c r="G7" s="53" t="s">
        <v>24</v>
      </c>
      <c r="H7" s="53" t="s">
        <v>25</v>
      </c>
      <c r="I7" s="54"/>
      <c r="J7" s="55" t="s">
        <v>26</v>
      </c>
      <c r="K7" s="56">
        <v>1</v>
      </c>
      <c r="L7" s="57">
        <v>300884.96000000002</v>
      </c>
      <c r="M7" s="57">
        <v>39115.040000000001</v>
      </c>
      <c r="N7" s="18">
        <v>340000</v>
      </c>
      <c r="O7" s="32">
        <v>135028.85999999999</v>
      </c>
      <c r="P7" s="32">
        <v>27005.77</v>
      </c>
      <c r="Q7" s="58">
        <v>18003.849999999999</v>
      </c>
      <c r="R7" s="32">
        <v>180038.48</v>
      </c>
      <c r="S7" s="6"/>
      <c r="T7" s="19"/>
      <c r="U7" s="20"/>
    </row>
    <row r="8" spans="1:63" ht="14.4" customHeight="1">
      <c r="A8" s="2">
        <f>ROW()-4</f>
        <v>4</v>
      </c>
      <c r="B8" s="39">
        <f>R8/L8</f>
        <v>0.58713847378646244</v>
      </c>
      <c r="C8" s="2">
        <f>IF(ISBLANK($B8),-1,IFERROR(IF($B8&gt;0.9,2,IF($B8&lt;0.3,1,0)),-1))</f>
        <v>0</v>
      </c>
      <c r="D8" s="11">
        <v>2</v>
      </c>
      <c r="E8" s="51" t="s">
        <v>22</v>
      </c>
      <c r="F8" s="52" t="s">
        <v>27</v>
      </c>
      <c r="G8" s="53" t="s">
        <v>24</v>
      </c>
      <c r="H8" s="53" t="s">
        <v>25</v>
      </c>
      <c r="I8" s="54"/>
      <c r="J8" s="55" t="s">
        <v>26</v>
      </c>
      <c r="K8" s="56">
        <v>1</v>
      </c>
      <c r="L8" s="57">
        <v>306637.17</v>
      </c>
      <c r="M8" s="57">
        <v>39853.83</v>
      </c>
      <c r="N8" s="18">
        <v>346491</v>
      </c>
      <c r="O8" s="32">
        <v>135028.85999999999</v>
      </c>
      <c r="P8" s="32">
        <v>27005.77</v>
      </c>
      <c r="Q8" s="58">
        <v>18003.849999999999</v>
      </c>
      <c r="R8" s="32">
        <v>180038.48</v>
      </c>
      <c r="S8" s="6"/>
      <c r="T8" s="19"/>
      <c r="U8" s="20"/>
    </row>
    <row r="9" spans="1:63" ht="14.4" customHeight="1">
      <c r="A9" s="2">
        <f>ROW()-4</f>
        <v>5</v>
      </c>
      <c r="B9" s="39">
        <f>R9/L9</f>
        <v>0.58713847378646244</v>
      </c>
      <c r="C9" s="2">
        <f>IF(ISBLANK($B9),-1,IFERROR(IF($B9&gt;0.9,2,IF($B9&lt;0.3,1,0)),-1))</f>
        <v>0</v>
      </c>
      <c r="D9" s="11">
        <v>3</v>
      </c>
      <c r="E9" s="51" t="s">
        <v>22</v>
      </c>
      <c r="F9" s="52" t="s">
        <v>27</v>
      </c>
      <c r="G9" s="53" t="s">
        <v>24</v>
      </c>
      <c r="H9" s="53" t="s">
        <v>25</v>
      </c>
      <c r="I9" s="54"/>
      <c r="J9" s="55" t="s">
        <v>26</v>
      </c>
      <c r="K9" s="56">
        <v>1</v>
      </c>
      <c r="L9" s="57">
        <v>306637.17</v>
      </c>
      <c r="M9" s="57">
        <v>39853.83</v>
      </c>
      <c r="N9" s="18">
        <v>346491</v>
      </c>
      <c r="O9" s="32">
        <v>135028.85999999999</v>
      </c>
      <c r="P9" s="32">
        <v>27005.77</v>
      </c>
      <c r="Q9" s="58">
        <v>18003.849999999999</v>
      </c>
      <c r="R9" s="32">
        <v>180038.48</v>
      </c>
      <c r="S9" s="6"/>
      <c r="T9" s="19"/>
      <c r="U9" s="20"/>
    </row>
    <row r="10" spans="1:63" ht="14.4" customHeight="1">
      <c r="A10" s="2">
        <f>ROW()-4</f>
        <v>6</v>
      </c>
      <c r="B10" s="39">
        <f>R10/L10</f>
        <v>0.74184118354849726</v>
      </c>
      <c r="C10" s="2">
        <f>IF(ISBLANK($B10),-1,IFERROR(IF($B10&gt;0.9,2,IF($B10&lt;0.3,1,0)),-1))</f>
        <v>0</v>
      </c>
      <c r="D10" s="11">
        <v>4</v>
      </c>
      <c r="E10" s="51" t="s">
        <v>22</v>
      </c>
      <c r="F10" s="52" t="s">
        <v>28</v>
      </c>
      <c r="G10" s="53" t="s">
        <v>29</v>
      </c>
      <c r="H10" s="53" t="s">
        <v>30</v>
      </c>
      <c r="I10" s="54"/>
      <c r="J10" s="55" t="s">
        <v>26</v>
      </c>
      <c r="K10" s="56">
        <v>2</v>
      </c>
      <c r="L10" s="57">
        <v>681415.93</v>
      </c>
      <c r="M10" s="57">
        <v>88584.07</v>
      </c>
      <c r="N10" s="18">
        <v>770000</v>
      </c>
      <c r="O10" s="32">
        <v>189563.4</v>
      </c>
      <c r="P10" s="32">
        <v>37912.68</v>
      </c>
      <c r="Q10" s="58">
        <v>25275.119999999999</v>
      </c>
      <c r="R10" s="32">
        <v>505502.4</v>
      </c>
      <c r="S10" s="6"/>
      <c r="T10" s="19"/>
      <c r="U10" s="20"/>
    </row>
    <row r="11" spans="1:63" ht="14.4" customHeight="1">
      <c r="A11" s="2">
        <f>ROW()-4</f>
        <v>7</v>
      </c>
      <c r="B11" s="39">
        <f>R11/L11</f>
        <v>0.75756113166447103</v>
      </c>
      <c r="C11" s="2">
        <f>IF(ISBLANK($B11),-1,IFERROR(IF($B11&gt;0.9,2,IF($B11&lt;0.3,1,0)),-1))</f>
        <v>0</v>
      </c>
      <c r="D11" s="11">
        <v>5</v>
      </c>
      <c r="E11" s="51" t="s">
        <v>22</v>
      </c>
      <c r="F11" s="52" t="s">
        <v>28</v>
      </c>
      <c r="G11" s="53" t="s">
        <v>29</v>
      </c>
      <c r="H11" s="53" t="s">
        <v>30</v>
      </c>
      <c r="I11" s="54"/>
      <c r="J11" s="55" t="s">
        <v>26</v>
      </c>
      <c r="K11" s="56">
        <v>1</v>
      </c>
      <c r="L11" s="57">
        <v>261946.9</v>
      </c>
      <c r="M11" s="57">
        <v>34053.1</v>
      </c>
      <c r="N11" s="18">
        <v>296000</v>
      </c>
      <c r="O11" s="32">
        <v>148830.59</v>
      </c>
      <c r="P11" s="32">
        <v>29766.12</v>
      </c>
      <c r="Q11" s="58">
        <v>19844.080000000002</v>
      </c>
      <c r="R11" s="32">
        <v>198440.79</v>
      </c>
      <c r="S11" s="28"/>
      <c r="T11" s="29"/>
      <c r="U11" s="30"/>
    </row>
    <row r="12" spans="1:63" ht="14.4" customHeight="1">
      <c r="A12" s="2">
        <f>ROW()-4</f>
        <v>8</v>
      </c>
      <c r="B12" s="39">
        <f>R12/L12</f>
        <v>0.61064214102634928</v>
      </c>
      <c r="C12" s="2">
        <f>IF(ISBLANK($B12),-1,IFERROR(IF($B12&gt;0.9,2,IF($B12&lt;0.3,1,0)),-1))</f>
        <v>0</v>
      </c>
      <c r="D12" s="11">
        <v>6</v>
      </c>
      <c r="E12" s="51" t="s">
        <v>31</v>
      </c>
      <c r="F12" s="52" t="s">
        <v>32</v>
      </c>
      <c r="G12" s="53" t="s">
        <v>33</v>
      </c>
      <c r="H12" s="53" t="s">
        <v>25</v>
      </c>
      <c r="I12" s="54"/>
      <c r="J12" s="55" t="s">
        <v>26</v>
      </c>
      <c r="K12" s="56">
        <v>1</v>
      </c>
      <c r="L12" s="57">
        <v>331858.40999999997</v>
      </c>
      <c r="M12" s="57">
        <v>43141.59</v>
      </c>
      <c r="N12" s="18">
        <v>375000</v>
      </c>
      <c r="O12" s="32">
        <v>151985.04999999999</v>
      </c>
      <c r="P12" s="32">
        <v>30397.01</v>
      </c>
      <c r="Q12" s="58">
        <v>20264.669999999998</v>
      </c>
      <c r="R12" s="32">
        <v>202646.73</v>
      </c>
      <c r="S12" s="28"/>
      <c r="T12" s="29"/>
      <c r="U12" s="30"/>
    </row>
    <row r="13" spans="1:63" ht="14.4" customHeight="1">
      <c r="A13" s="2">
        <f>ROW()-4</f>
        <v>9</v>
      </c>
      <c r="B13" s="39">
        <f>R13/L13</f>
        <v>0.74231992057374852</v>
      </c>
      <c r="C13" s="2">
        <f>IF(ISBLANK($B13),-1,IFERROR(IF($B13&gt;0.9,2,IF($B13&lt;0.3,1,0)),-1))</f>
        <v>0</v>
      </c>
      <c r="D13" s="11">
        <v>7</v>
      </c>
      <c r="E13" s="52" t="s">
        <v>31</v>
      </c>
      <c r="F13" s="52" t="s">
        <v>34</v>
      </c>
      <c r="G13" s="55" t="s">
        <v>35</v>
      </c>
      <c r="H13" s="53" t="s">
        <v>25</v>
      </c>
      <c r="I13" s="54"/>
      <c r="J13" s="55" t="s">
        <v>26</v>
      </c>
      <c r="K13" s="56">
        <v>4</v>
      </c>
      <c r="L13" s="59">
        <v>1840707.96</v>
      </c>
      <c r="M13" s="59">
        <v>239292.04</v>
      </c>
      <c r="N13" s="60">
        <v>2080000</v>
      </c>
      <c r="O13" s="61">
        <f>206198.91+75000/1.5</f>
        <v>256198.91</v>
      </c>
      <c r="P13" s="61">
        <f>41239.78+15000/1.5</f>
        <v>51239.78</v>
      </c>
      <c r="Q13" s="62">
        <f>27493.19+10000/1.5</f>
        <v>34159.856666666667</v>
      </c>
      <c r="R13" s="61">
        <f>(Q13+P13+O13)*4</f>
        <v>1366394.1866666665</v>
      </c>
      <c r="S13" s="28"/>
      <c r="T13" s="29"/>
      <c r="U13" s="30"/>
    </row>
    <row r="14" spans="1:63" ht="14.4" customHeight="1">
      <c r="A14" s="2">
        <f>ROW()-4</f>
        <v>10</v>
      </c>
      <c r="B14" s="39">
        <f>R14/L14</f>
        <v>0.62721374970105703</v>
      </c>
      <c r="C14" s="2">
        <f>IF(ISBLANK($B14),-1,IFERROR(IF($B14&gt;0.9,2,IF($B14&lt;0.3,1,0)),-1))</f>
        <v>0</v>
      </c>
      <c r="D14" s="11">
        <v>8</v>
      </c>
      <c r="E14" s="52" t="s">
        <v>31</v>
      </c>
      <c r="F14" s="52" t="s">
        <v>34</v>
      </c>
      <c r="G14" s="55" t="s">
        <v>35</v>
      </c>
      <c r="H14" s="53" t="s">
        <v>25</v>
      </c>
      <c r="I14" s="54"/>
      <c r="J14" s="55" t="s">
        <v>26</v>
      </c>
      <c r="K14" s="56">
        <v>1</v>
      </c>
      <c r="L14" s="63">
        <v>345132.74</v>
      </c>
      <c r="M14" s="63">
        <v>44867.26</v>
      </c>
      <c r="N14" s="38">
        <v>390000</v>
      </c>
      <c r="O14" s="64">
        <v>162354</v>
      </c>
      <c r="P14" s="64">
        <v>32470.799999999999</v>
      </c>
      <c r="Q14" s="58">
        <v>21647.200000000001</v>
      </c>
      <c r="R14" s="64">
        <v>216472</v>
      </c>
      <c r="S14" s="28"/>
      <c r="T14" s="29"/>
      <c r="U14" s="30"/>
    </row>
    <row r="15" spans="1:63" ht="14.4" customHeight="1">
      <c r="A15" s="2">
        <f>ROW()-4</f>
        <v>11</v>
      </c>
      <c r="B15" s="39">
        <f>R15/L15</f>
        <v>0.42719938886134085</v>
      </c>
      <c r="C15" s="2">
        <f>IF(ISBLANK($B15),-1,IFERROR(IF($B15&gt;0.9,2,IF($B15&lt;0.3,1,0)),-1))</f>
        <v>0</v>
      </c>
      <c r="D15" s="11">
        <v>9</v>
      </c>
      <c r="E15" s="51" t="s">
        <v>36</v>
      </c>
      <c r="F15" s="103">
        <v>13871988</v>
      </c>
      <c r="G15" s="53" t="s">
        <v>38</v>
      </c>
      <c r="H15" s="53" t="s">
        <v>39</v>
      </c>
      <c r="I15" s="54"/>
      <c r="J15" s="55" t="s">
        <v>26</v>
      </c>
      <c r="K15" s="56">
        <v>1</v>
      </c>
      <c r="L15" s="57">
        <v>276991.15000000002</v>
      </c>
      <c r="M15" s="57">
        <v>36008.85</v>
      </c>
      <c r="N15" s="18">
        <v>313000</v>
      </c>
      <c r="O15" s="32">
        <v>88747.839999999997</v>
      </c>
      <c r="P15" s="32">
        <v>17749.57</v>
      </c>
      <c r="Q15" s="58">
        <v>11833.04</v>
      </c>
      <c r="R15" s="32">
        <v>118330.45</v>
      </c>
      <c r="S15" s="28"/>
      <c r="T15" s="29"/>
      <c r="U15" s="30"/>
    </row>
    <row r="16" spans="1:63" ht="14.4" customHeight="1">
      <c r="A16" s="2">
        <f>ROW()-4</f>
        <v>12</v>
      </c>
      <c r="B16" s="39">
        <f>R16/L16</f>
        <v>0.71037746325535389</v>
      </c>
      <c r="C16" s="2">
        <f>IF(ISBLANK($B16),-1,IFERROR(IF($B16&gt;0.9,2,IF($B16&lt;0.3,1,0)),-1))</f>
        <v>0</v>
      </c>
      <c r="D16" s="11">
        <v>10</v>
      </c>
      <c r="E16" s="51" t="s">
        <v>36</v>
      </c>
      <c r="F16" s="52" t="s">
        <v>37</v>
      </c>
      <c r="G16" s="53" t="s">
        <v>38</v>
      </c>
      <c r="H16" s="53" t="s">
        <v>39</v>
      </c>
      <c r="I16" s="54"/>
      <c r="J16" s="55" t="s">
        <v>26</v>
      </c>
      <c r="K16" s="56">
        <v>1</v>
      </c>
      <c r="L16" s="57">
        <v>328318.58</v>
      </c>
      <c r="M16" s="57">
        <v>42681.42</v>
      </c>
      <c r="N16" s="18">
        <v>371000</v>
      </c>
      <c r="O16" s="32">
        <v>174922.59</v>
      </c>
      <c r="P16" s="32">
        <v>34984.519999999997</v>
      </c>
      <c r="Q16" s="58">
        <v>23323.01</v>
      </c>
      <c r="R16" s="32">
        <v>233230.12</v>
      </c>
      <c r="S16" s="28"/>
      <c r="T16" s="29"/>
      <c r="U16" s="30"/>
    </row>
    <row r="17" spans="1:21" ht="14.4" customHeight="1">
      <c r="A17" s="2">
        <f>ROW()-4</f>
        <v>13</v>
      </c>
      <c r="B17" s="39">
        <f>R17/L17</f>
        <v>0.54347658130734833</v>
      </c>
      <c r="C17" s="2">
        <f>IF(ISBLANK($B17),-1,IFERROR(IF($B17&gt;0.9,2,IF($B17&lt;0.3,1,0)),-1))</f>
        <v>0</v>
      </c>
      <c r="D17" s="11">
        <v>11</v>
      </c>
      <c r="E17" s="51" t="s">
        <v>40</v>
      </c>
      <c r="F17" s="52" t="s">
        <v>41</v>
      </c>
      <c r="G17" s="53" t="s">
        <v>42</v>
      </c>
      <c r="H17" s="53" t="s">
        <v>25</v>
      </c>
      <c r="I17" s="54"/>
      <c r="J17" s="55" t="s">
        <v>26</v>
      </c>
      <c r="K17" s="56">
        <v>1</v>
      </c>
      <c r="L17" s="57">
        <v>385840.71</v>
      </c>
      <c r="M17" s="57">
        <v>50159.29</v>
      </c>
      <c r="N17" s="18">
        <v>436000</v>
      </c>
      <c r="O17" s="32">
        <v>157271.54</v>
      </c>
      <c r="P17" s="32">
        <v>31454.31</v>
      </c>
      <c r="Q17" s="58">
        <v>20969.54</v>
      </c>
      <c r="R17" s="32">
        <v>209695.39</v>
      </c>
      <c r="S17" s="28"/>
      <c r="T17" s="29"/>
      <c r="U17" s="30"/>
    </row>
    <row r="18" spans="1:21" ht="14.4" customHeight="1">
      <c r="A18" s="2">
        <f>ROW()-4</f>
        <v>14</v>
      </c>
      <c r="B18" s="39">
        <f>R18/L18</f>
        <v>0.64951114944412491</v>
      </c>
      <c r="C18" s="2">
        <f>IF(ISBLANK($B18),-1,IFERROR(IF($B18&gt;0.9,2,IF($B18&lt;0.3,1,0)),-1))</f>
        <v>0</v>
      </c>
      <c r="D18" s="11">
        <v>12</v>
      </c>
      <c r="E18" s="51" t="s">
        <v>40</v>
      </c>
      <c r="F18" s="52" t="s">
        <v>41</v>
      </c>
      <c r="G18" s="53" t="s">
        <v>42</v>
      </c>
      <c r="H18" s="53" t="s">
        <v>25</v>
      </c>
      <c r="I18" s="54"/>
      <c r="J18" s="55" t="s">
        <v>26</v>
      </c>
      <c r="K18" s="56">
        <v>1</v>
      </c>
      <c r="L18" s="57">
        <v>406194.69</v>
      </c>
      <c r="M18" s="57">
        <v>52805.31</v>
      </c>
      <c r="N18" s="18">
        <v>459000</v>
      </c>
      <c r="O18" s="32">
        <v>197870.99</v>
      </c>
      <c r="P18" s="32">
        <v>39574.199999999997</v>
      </c>
      <c r="Q18" s="58">
        <v>26382.79</v>
      </c>
      <c r="R18" s="32">
        <v>263827.98</v>
      </c>
      <c r="S18" s="28"/>
      <c r="T18" s="29"/>
      <c r="U18" s="30"/>
    </row>
    <row r="19" spans="1:21" ht="14.4" customHeight="1">
      <c r="A19" s="2">
        <f>ROW()-4</f>
        <v>15</v>
      </c>
      <c r="B19" s="39" t="e">
        <f>R19/L19</f>
        <v>#DIV/0!</v>
      </c>
      <c r="C19" s="2">
        <f>IF(ISBLANK($B19),-1,IFERROR(IF($B19&gt;0.9,2,IF($B19&lt;0.3,1,0)),-1))</f>
        <v>-1</v>
      </c>
      <c r="D19" s="79">
        <v>14</v>
      </c>
      <c r="E19" s="76"/>
      <c r="F19" s="52"/>
      <c r="G19" s="53"/>
      <c r="H19" s="53"/>
      <c r="I19" s="54"/>
      <c r="J19" s="55"/>
      <c r="K19" s="56"/>
      <c r="L19" s="57"/>
      <c r="M19" s="57"/>
      <c r="N19" s="18"/>
      <c r="O19" s="32"/>
      <c r="P19" s="32"/>
      <c r="Q19" s="58"/>
      <c r="R19" s="32"/>
      <c r="S19" s="6"/>
      <c r="T19" s="19"/>
      <c r="U19" s="20"/>
    </row>
    <row r="20" spans="1:21" ht="14.4" customHeight="1">
      <c r="A20" s="2">
        <f>ROW()-4</f>
        <v>16</v>
      </c>
      <c r="B20" s="39" t="e">
        <f>R20/L20</f>
        <v>#DIV/0!</v>
      </c>
      <c r="C20" s="2">
        <f>IF(ISBLANK($B20),-1,IFERROR(IF($B20&gt;0.9,2,IF($B20&lt;0.3,1,0)),-1))</f>
        <v>-1</v>
      </c>
      <c r="D20" s="79"/>
      <c r="E20" s="76"/>
      <c r="F20" s="52"/>
      <c r="G20" s="53"/>
      <c r="H20" s="53"/>
      <c r="I20" s="54"/>
      <c r="J20" s="55"/>
      <c r="K20" s="56"/>
      <c r="L20" s="57"/>
      <c r="M20" s="57"/>
      <c r="N20" s="18"/>
      <c r="O20" s="32"/>
      <c r="P20" s="32"/>
      <c r="Q20" s="58"/>
      <c r="R20" s="32"/>
      <c r="S20" s="23"/>
      <c r="T20" s="24"/>
      <c r="U20" s="25"/>
    </row>
    <row r="21" spans="1:21" ht="14.4" customHeight="1">
      <c r="A21" s="2">
        <f>ROW()-4</f>
        <v>17</v>
      </c>
      <c r="B21" s="39" t="e">
        <f>R21/L21</f>
        <v>#DIV/0!</v>
      </c>
      <c r="C21" s="2">
        <f>IF(ISBLANK($B21),-1,IFERROR(IF($B21&gt;0.9,2,IF($B21&lt;0.3,1,0)),-1))</f>
        <v>-1</v>
      </c>
      <c r="D21" s="79"/>
      <c r="E21" s="76"/>
      <c r="F21" s="52"/>
      <c r="G21" s="53"/>
      <c r="H21" s="53"/>
      <c r="I21" s="54"/>
      <c r="J21" s="55"/>
      <c r="K21" s="56"/>
      <c r="L21" s="57"/>
      <c r="M21" s="57"/>
      <c r="N21" s="18"/>
      <c r="O21" s="32"/>
      <c r="P21" s="32"/>
      <c r="Q21" s="58"/>
      <c r="R21" s="32"/>
      <c r="S21" s="6"/>
      <c r="T21" s="19"/>
      <c r="U21" s="20"/>
    </row>
    <row r="22" spans="1:21" ht="14.4" customHeight="1">
      <c r="A22" s="2">
        <f>ROW()-4</f>
        <v>18</v>
      </c>
      <c r="B22" s="39" t="e">
        <f>R22/L22</f>
        <v>#DIV/0!</v>
      </c>
      <c r="C22" s="2">
        <f>IF(ISBLANK($B22),-1,IFERROR(IF($B22&gt;0.9,2,IF($B22&lt;0.3,1,0)),-1))</f>
        <v>-1</v>
      </c>
      <c r="D22" s="79"/>
      <c r="E22" s="76"/>
      <c r="F22" s="52"/>
      <c r="G22" s="53"/>
      <c r="H22" s="53"/>
      <c r="I22" s="54"/>
      <c r="J22" s="55"/>
      <c r="K22" s="56"/>
      <c r="L22" s="57"/>
      <c r="M22" s="57"/>
      <c r="N22" s="18"/>
      <c r="O22" s="32"/>
      <c r="P22" s="32"/>
      <c r="Q22" s="58"/>
      <c r="R22" s="32"/>
      <c r="S22" s="28"/>
      <c r="T22" s="29"/>
      <c r="U22" s="30"/>
    </row>
    <row r="23" spans="1:21" ht="14.4" customHeight="1">
      <c r="A23" s="2">
        <f>ROW()-4</f>
        <v>19</v>
      </c>
      <c r="B23" s="39" t="e">
        <f>R23/L23</f>
        <v>#DIV/0!</v>
      </c>
      <c r="C23" s="2">
        <f>IF(ISBLANK($B23),-1,IFERROR(IF($B23&gt;0.9,2,IF($B23&lt;0.3,1,0)),-1))</f>
        <v>-1</v>
      </c>
      <c r="D23" s="79"/>
      <c r="E23" s="76"/>
      <c r="F23" s="52"/>
      <c r="G23" s="53"/>
      <c r="H23" s="53"/>
      <c r="I23" s="54"/>
      <c r="J23" s="55"/>
      <c r="K23" s="56"/>
      <c r="L23" s="57"/>
      <c r="M23" s="57"/>
      <c r="N23" s="18"/>
      <c r="O23" s="32"/>
      <c r="P23" s="32"/>
      <c r="Q23" s="58"/>
      <c r="R23" s="32"/>
      <c r="S23" s="28"/>
      <c r="T23" s="29"/>
      <c r="U23" s="30"/>
    </row>
    <row r="24" spans="1:21" ht="14.4" customHeight="1">
      <c r="A24" s="2">
        <f>ROW()-4</f>
        <v>20</v>
      </c>
      <c r="B24" s="39" t="e">
        <f>R24/L24</f>
        <v>#DIV/0!</v>
      </c>
      <c r="C24" s="2">
        <f>IF(ISBLANK($B24),-1,IFERROR(IF($B24&gt;0.9,2,IF($B24&lt;0.3,1,0)),-1))</f>
        <v>-1</v>
      </c>
      <c r="D24" s="79"/>
      <c r="E24" s="76"/>
      <c r="F24" s="52"/>
      <c r="G24" s="53"/>
      <c r="H24" s="53"/>
      <c r="I24" s="54"/>
      <c r="J24" s="55"/>
      <c r="K24" s="56"/>
      <c r="L24" s="57"/>
      <c r="M24" s="57"/>
      <c r="N24" s="18"/>
      <c r="O24" s="32"/>
      <c r="P24" s="32"/>
      <c r="Q24" s="58"/>
      <c r="R24" s="32"/>
      <c r="S24" s="28"/>
      <c r="T24" s="29"/>
      <c r="U24" s="30"/>
    </row>
    <row r="25" spans="1:21" ht="14.4" customHeight="1">
      <c r="A25" s="2">
        <f>ROW()-4</f>
        <v>21</v>
      </c>
      <c r="B25" s="39" t="e">
        <f>R25/L25</f>
        <v>#DIV/0!</v>
      </c>
      <c r="C25" s="2">
        <f>IF(ISBLANK($B25),-1,IFERROR(IF($B25&gt;0.9,2,IF($B25&lt;0.3,1,0)),-1))</f>
        <v>-1</v>
      </c>
      <c r="D25" s="79"/>
      <c r="E25" s="76"/>
      <c r="F25" s="52"/>
      <c r="G25" s="53"/>
      <c r="H25" s="53"/>
      <c r="I25" s="54"/>
      <c r="J25" s="55"/>
      <c r="K25" s="56"/>
      <c r="L25" s="57"/>
      <c r="M25" s="57"/>
      <c r="N25" s="18"/>
      <c r="O25" s="32"/>
      <c r="P25" s="32"/>
      <c r="Q25" s="58"/>
      <c r="R25" s="32"/>
      <c r="S25" s="28"/>
      <c r="T25" s="29"/>
      <c r="U25" s="30"/>
    </row>
    <row r="26" spans="1:21" ht="14.4" customHeight="1">
      <c r="A26" s="2">
        <f>ROW()-4</f>
        <v>22</v>
      </c>
      <c r="B26" s="39" t="e">
        <f>R26/L26</f>
        <v>#DIV/0!</v>
      </c>
      <c r="C26" s="2">
        <f>IF(ISBLANK($B26),-1,IFERROR(IF($B26&gt;0.9,2,IF($B26&lt;0.3,1,0)),-1))</f>
        <v>-1</v>
      </c>
      <c r="D26" s="79"/>
      <c r="E26" s="77"/>
      <c r="F26" s="52"/>
      <c r="G26" s="55"/>
      <c r="H26" s="53"/>
      <c r="I26" s="54"/>
      <c r="J26" s="55"/>
      <c r="K26" s="56"/>
      <c r="L26" s="59"/>
      <c r="M26" s="59"/>
      <c r="N26" s="60"/>
      <c r="O26" s="61"/>
      <c r="P26" s="61"/>
      <c r="Q26" s="62"/>
      <c r="R26" s="61"/>
      <c r="S26" s="28"/>
      <c r="T26" s="29"/>
      <c r="U26" s="30"/>
    </row>
    <row r="27" spans="1:21" ht="14.4" customHeight="1">
      <c r="A27" s="2">
        <f>ROW()-4</f>
        <v>23</v>
      </c>
      <c r="B27" s="39" t="e">
        <f>R27/L27</f>
        <v>#DIV/0!</v>
      </c>
      <c r="C27" s="2">
        <f>IF(ISBLANK($B27),-1,IFERROR(IF($B27&gt;0.9,2,IF($B27&lt;0.3,1,0)),-1))</f>
        <v>-1</v>
      </c>
      <c r="D27" s="79"/>
      <c r="E27" s="77"/>
      <c r="F27" s="52"/>
      <c r="G27" s="55"/>
      <c r="H27" s="53"/>
      <c r="I27" s="54"/>
      <c r="J27" s="55"/>
      <c r="K27" s="56"/>
      <c r="L27" s="63"/>
      <c r="M27" s="63"/>
      <c r="N27" s="38"/>
      <c r="O27" s="64"/>
      <c r="P27" s="64"/>
      <c r="Q27" s="58"/>
      <c r="R27" s="64"/>
      <c r="S27" s="6"/>
      <c r="T27" s="19"/>
      <c r="U27" s="20"/>
    </row>
    <row r="28" spans="1:21" ht="14.4" customHeight="1">
      <c r="A28" s="2">
        <f>ROW()-4</f>
        <v>24</v>
      </c>
      <c r="B28" s="39" t="e">
        <f>R28/L28</f>
        <v>#DIV/0!</v>
      </c>
      <c r="C28" s="2">
        <f>IF(ISBLANK($B28),-1,IFERROR(IF($B28&gt;0.9,2,IF($B28&lt;0.3,1,0)),-1))</f>
        <v>-1</v>
      </c>
      <c r="D28" s="79"/>
      <c r="E28" s="76"/>
      <c r="F28" s="52"/>
      <c r="G28" s="53"/>
      <c r="H28" s="53"/>
      <c r="I28" s="54"/>
      <c r="J28" s="55"/>
      <c r="K28" s="56"/>
      <c r="L28" s="57"/>
      <c r="M28" s="57"/>
      <c r="N28" s="18"/>
      <c r="O28" s="32"/>
      <c r="P28" s="32"/>
      <c r="Q28" s="58"/>
      <c r="R28" s="32"/>
      <c r="S28" s="6"/>
      <c r="T28" s="19"/>
      <c r="U28" s="20"/>
    </row>
    <row r="29" spans="1:21" ht="14.4" customHeight="1">
      <c r="A29" s="2">
        <f>ROW()-4</f>
        <v>25</v>
      </c>
      <c r="B29" s="39" t="e">
        <f>R29/L29</f>
        <v>#DIV/0!</v>
      </c>
      <c r="C29" s="2">
        <f>IF(ISBLANK($B29),-1,IFERROR(IF($B29&gt;0.9,2,IF($B29&lt;0.3,1,0)),-1))</f>
        <v>-1</v>
      </c>
      <c r="D29" s="79"/>
      <c r="E29" s="76"/>
      <c r="F29" s="52"/>
      <c r="G29" s="53"/>
      <c r="H29" s="53"/>
      <c r="I29" s="54"/>
      <c r="J29" s="55"/>
      <c r="K29" s="56"/>
      <c r="L29" s="57"/>
      <c r="M29" s="57"/>
      <c r="N29" s="18"/>
      <c r="O29" s="32"/>
      <c r="P29" s="32"/>
      <c r="Q29" s="58"/>
      <c r="R29" s="32"/>
      <c r="S29" s="6"/>
      <c r="T29" s="19"/>
      <c r="U29" s="20"/>
    </row>
    <row r="30" spans="1:21" ht="14.4" customHeight="1">
      <c r="A30" s="2">
        <f>ROW()-4</f>
        <v>26</v>
      </c>
      <c r="B30" s="39" t="e">
        <f>R30/L30</f>
        <v>#DIV/0!</v>
      </c>
      <c r="C30" s="2">
        <f>IF(ISBLANK($B30),-1,IFERROR(IF($B30&gt;0.9,2,IF($B30&lt;0.3,1,0)),-1))</f>
        <v>-1</v>
      </c>
      <c r="D30" s="79"/>
      <c r="E30" s="76"/>
      <c r="F30" s="52"/>
      <c r="G30" s="53"/>
      <c r="H30" s="53"/>
      <c r="I30" s="54"/>
      <c r="J30" s="55"/>
      <c r="K30" s="56"/>
      <c r="L30" s="57"/>
      <c r="M30" s="57"/>
      <c r="N30" s="18"/>
      <c r="O30" s="32"/>
      <c r="P30" s="32"/>
      <c r="Q30" s="58"/>
      <c r="R30" s="32"/>
      <c r="S30" s="6"/>
      <c r="T30" s="19"/>
      <c r="U30" s="20"/>
    </row>
    <row r="31" spans="1:21" ht="14.4" customHeight="1">
      <c r="A31" s="2">
        <f>ROW()-4</f>
        <v>27</v>
      </c>
      <c r="B31" s="39" t="e">
        <f>R31/L31</f>
        <v>#DIV/0!</v>
      </c>
      <c r="C31" s="2">
        <f>IF(ISBLANK($B31),-1,IFERROR(IF($B31&gt;0.9,2,IF($B31&lt;0.3,1,0)),-1))</f>
        <v>-1</v>
      </c>
      <c r="D31" s="79"/>
      <c r="E31" s="76"/>
      <c r="F31" s="52"/>
      <c r="G31" s="53"/>
      <c r="H31" s="53"/>
      <c r="I31" s="54"/>
      <c r="J31" s="55"/>
      <c r="K31" s="56"/>
      <c r="L31" s="57"/>
      <c r="M31" s="57"/>
      <c r="N31" s="18"/>
      <c r="O31" s="32"/>
      <c r="P31" s="32"/>
      <c r="Q31" s="58"/>
      <c r="R31" s="32"/>
      <c r="S31" s="6"/>
      <c r="T31" s="19"/>
      <c r="U31" s="20"/>
    </row>
    <row r="32" spans="1:21" ht="14.4" customHeight="1">
      <c r="A32" s="2">
        <f>ROW()-4</f>
        <v>28</v>
      </c>
      <c r="B32" s="39" t="e">
        <f>R32/L32</f>
        <v>#DIV/0!</v>
      </c>
      <c r="C32" s="2">
        <f>IF(ISBLANK($B32),-1,IFERROR(IF($B32&gt;0.9,2,IF($B32&lt;0.3,1,0)),-1))</f>
        <v>-1</v>
      </c>
      <c r="D32" s="79"/>
      <c r="E32" s="78"/>
      <c r="F32" s="26"/>
      <c r="G32" s="27"/>
      <c r="H32" s="14"/>
      <c r="I32" s="9"/>
      <c r="J32" s="16"/>
      <c r="K32" s="11"/>
      <c r="L32" s="22"/>
      <c r="M32" s="22"/>
      <c r="N32" s="18"/>
      <c r="O32" s="17"/>
      <c r="P32" s="18"/>
      <c r="Q32" s="18"/>
      <c r="R32" s="18"/>
      <c r="S32" s="6"/>
      <c r="T32" s="19"/>
      <c r="U32" s="20"/>
    </row>
    <row r="33" spans="1:21" ht="14.4" customHeight="1">
      <c r="A33" s="2">
        <f>ROW()-4</f>
        <v>29</v>
      </c>
      <c r="B33" s="39" t="e">
        <f>R33/L33</f>
        <v>#DIV/0!</v>
      </c>
      <c r="C33" s="2">
        <f>IF(ISBLANK($B33),-1,IFERROR(IF($B33&gt;0.9,2,IF($B33&lt;0.3,1,0)),-1))</f>
        <v>-1</v>
      </c>
      <c r="D33" s="79"/>
      <c r="E33" s="78"/>
      <c r="F33" s="26"/>
      <c r="G33" s="27"/>
      <c r="H33" s="14"/>
      <c r="I33" s="9"/>
      <c r="J33" s="16"/>
      <c r="K33" s="11"/>
      <c r="L33" s="22"/>
      <c r="M33" s="22"/>
      <c r="N33" s="18"/>
      <c r="O33" s="17"/>
      <c r="P33" s="18"/>
      <c r="Q33" s="18"/>
      <c r="R33" s="18"/>
      <c r="S33" s="6"/>
      <c r="T33" s="19"/>
      <c r="U33" s="20"/>
    </row>
    <row r="34" spans="1:21" ht="14.4" customHeight="1">
      <c r="A34" s="2">
        <f>ROW()-4</f>
        <v>30</v>
      </c>
      <c r="B34" s="39" t="e">
        <f>R34/L34</f>
        <v>#DIV/0!</v>
      </c>
      <c r="C34" s="2">
        <f>IF(ISBLANK($B34),-1,IFERROR(IF($B34&gt;0.9,2,IF($B34&lt;0.3,1,0)),-1))</f>
        <v>-1</v>
      </c>
      <c r="D34" s="79"/>
      <c r="E34" s="78"/>
      <c r="F34" s="26"/>
      <c r="G34" s="27"/>
      <c r="H34" s="14"/>
      <c r="I34" s="9"/>
      <c r="J34" s="16"/>
      <c r="K34" s="11"/>
      <c r="L34" s="22"/>
      <c r="M34" s="22"/>
      <c r="N34" s="18"/>
      <c r="O34" s="17"/>
      <c r="P34" s="18"/>
      <c r="Q34" s="18"/>
      <c r="R34" s="18"/>
      <c r="S34" s="6"/>
      <c r="T34" s="19"/>
      <c r="U34" s="20"/>
    </row>
    <row r="35" spans="1:21" ht="14.4" customHeight="1">
      <c r="A35" s="2">
        <f>ROW()-4</f>
        <v>31</v>
      </c>
      <c r="B35" s="39" t="e">
        <f>R35/L35</f>
        <v>#DIV/0!</v>
      </c>
      <c r="C35" s="2">
        <f>IF(ISBLANK($B35),-1,IFERROR(IF($B35&gt;0.9,2,IF($B35&lt;0.3,1,0)),-1))</f>
        <v>-1</v>
      </c>
      <c r="D35" s="79"/>
      <c r="E35" s="78"/>
      <c r="F35" s="26"/>
      <c r="G35" s="27"/>
      <c r="H35" s="14"/>
      <c r="I35" s="9"/>
      <c r="J35" s="16"/>
      <c r="K35" s="11"/>
      <c r="L35" s="22"/>
      <c r="M35" s="22"/>
      <c r="N35" s="18"/>
      <c r="O35" s="17"/>
      <c r="P35" s="18"/>
      <c r="Q35" s="18"/>
      <c r="R35" s="18"/>
      <c r="S35" s="6"/>
      <c r="T35" s="19"/>
      <c r="U35" s="20"/>
    </row>
    <row r="36" spans="1:21" ht="14.4" customHeight="1">
      <c r="A36" s="2">
        <f>ROW()-4</f>
        <v>32</v>
      </c>
      <c r="B36" s="39" t="e">
        <f>R36/L36</f>
        <v>#DIV/0!</v>
      </c>
      <c r="C36" s="2">
        <f>IF(ISBLANK($B36),-1,IFERROR(IF($B36&gt;0.9,2,IF($B36&lt;0.3,1,0)),-1))</f>
        <v>-1</v>
      </c>
      <c r="D36" s="79"/>
      <c r="E36" s="78"/>
      <c r="F36" s="26"/>
      <c r="G36" s="27"/>
      <c r="H36" s="14"/>
      <c r="I36" s="9"/>
      <c r="J36" s="16"/>
      <c r="K36" s="11"/>
      <c r="L36" s="22"/>
      <c r="M36" s="22"/>
      <c r="N36" s="18"/>
      <c r="O36" s="17"/>
      <c r="P36" s="18"/>
      <c r="Q36" s="18"/>
      <c r="R36" s="18"/>
      <c r="S36" s="6"/>
      <c r="T36" s="19"/>
      <c r="U36" s="20"/>
    </row>
    <row r="37" spans="1:21" ht="14.4" customHeight="1">
      <c r="A37" s="2">
        <f>ROW()-4</f>
        <v>33</v>
      </c>
      <c r="B37" s="39" t="e">
        <f>R37/L37</f>
        <v>#DIV/0!</v>
      </c>
      <c r="C37" s="2">
        <f>IF(ISBLANK($B37),-1,IFERROR(IF($B37&gt;0.9,2,IF($B37&lt;0.3,1,0)),-1))</f>
        <v>-1</v>
      </c>
      <c r="D37" s="79"/>
      <c r="E37" s="78"/>
      <c r="F37" s="26"/>
      <c r="G37" s="27"/>
      <c r="H37" s="14"/>
      <c r="I37" s="9"/>
      <c r="J37" s="16"/>
      <c r="K37" s="11"/>
      <c r="L37" s="22"/>
      <c r="M37" s="22"/>
      <c r="N37" s="18"/>
      <c r="O37" s="17"/>
      <c r="P37" s="18"/>
      <c r="Q37" s="18"/>
      <c r="R37" s="18"/>
      <c r="S37" s="6"/>
      <c r="T37" s="19"/>
      <c r="U37" s="20"/>
    </row>
    <row r="38" spans="1:21" ht="14.4" customHeight="1">
      <c r="A38" s="2">
        <f>ROW()-4</f>
        <v>34</v>
      </c>
      <c r="B38" s="39" t="e">
        <f>R38/L38</f>
        <v>#DIV/0!</v>
      </c>
      <c r="C38" s="2">
        <f>IF(ISBLANK($B38),-1,IFERROR(IF($B38&gt;0.9,2,IF($B38&lt;0.3,1,0)),-1))</f>
        <v>-1</v>
      </c>
      <c r="D38" s="79"/>
      <c r="E38" s="78"/>
      <c r="F38" s="26"/>
      <c r="G38" s="27"/>
      <c r="H38" s="14"/>
      <c r="I38" s="9"/>
      <c r="J38" s="16"/>
      <c r="K38" s="11"/>
      <c r="L38" s="22"/>
      <c r="M38" s="22"/>
      <c r="N38" s="18"/>
      <c r="O38" s="17"/>
      <c r="P38" s="18"/>
      <c r="Q38" s="18"/>
      <c r="R38" s="18"/>
      <c r="S38" s="6"/>
      <c r="T38" s="19"/>
      <c r="U38" s="20"/>
    </row>
    <row r="39" spans="1:21" ht="14.4" customHeight="1">
      <c r="A39" s="2">
        <f>ROW()-4</f>
        <v>35</v>
      </c>
      <c r="B39" s="39" t="e">
        <f>R39/L39</f>
        <v>#DIV/0!</v>
      </c>
      <c r="C39" s="2">
        <f>IF(ISBLANK($B39),-1,IFERROR(IF($B39&gt;0.9,2,IF($B39&lt;0.3,1,0)),-1))</f>
        <v>-1</v>
      </c>
      <c r="D39" s="79"/>
      <c r="E39" s="78"/>
      <c r="F39" s="26"/>
      <c r="G39" s="27"/>
      <c r="H39" s="14"/>
      <c r="I39" s="9"/>
      <c r="J39" s="16"/>
      <c r="K39" s="11"/>
      <c r="L39" s="22"/>
      <c r="M39" s="22"/>
      <c r="N39" s="18"/>
      <c r="O39" s="17"/>
      <c r="P39" s="18"/>
      <c r="Q39" s="18"/>
      <c r="R39" s="18"/>
      <c r="S39" s="6"/>
      <c r="T39" s="19"/>
      <c r="U39" s="20"/>
    </row>
    <row r="40" spans="1:21" ht="14.4" customHeight="1">
      <c r="A40" s="2">
        <f>ROW()-4</f>
        <v>36</v>
      </c>
      <c r="B40" s="39" t="e">
        <f>R40/L40</f>
        <v>#DIV/0!</v>
      </c>
      <c r="C40" s="2">
        <f>IF(ISBLANK($B40),-1,IFERROR(IF($B40&gt;0.9,2,IF($B40&lt;0.3,1,0)),-1))</f>
        <v>-1</v>
      </c>
      <c r="D40" s="79"/>
      <c r="E40" s="78"/>
      <c r="F40" s="26"/>
      <c r="G40" s="27"/>
      <c r="H40" s="14"/>
      <c r="I40" s="9"/>
      <c r="J40" s="16"/>
      <c r="K40" s="11"/>
      <c r="L40" s="22"/>
      <c r="M40" s="22"/>
      <c r="N40" s="18"/>
      <c r="O40" s="17"/>
      <c r="P40" s="18"/>
      <c r="Q40" s="18"/>
      <c r="R40" s="18"/>
      <c r="S40" s="6"/>
      <c r="T40" s="19"/>
      <c r="U40" s="20"/>
    </row>
    <row r="41" spans="1:21" ht="14.4" customHeight="1">
      <c r="A41" s="2">
        <f>ROW()-4</f>
        <v>37</v>
      </c>
      <c r="B41" s="39" t="e">
        <f>R41/L41</f>
        <v>#DIV/0!</v>
      </c>
      <c r="C41" s="2">
        <f>IF(ISBLANK($B41),-1,IFERROR(IF($B41&gt;0.9,2,IF($B41&lt;0.3,1,0)),-1))</f>
        <v>-1</v>
      </c>
      <c r="D41" s="79"/>
      <c r="E41" s="78"/>
      <c r="F41" s="26"/>
      <c r="G41" s="27"/>
      <c r="H41" s="14"/>
      <c r="I41" s="9"/>
      <c r="J41" s="16"/>
      <c r="K41" s="11"/>
      <c r="L41" s="22"/>
      <c r="M41" s="22"/>
      <c r="N41" s="18"/>
      <c r="O41" s="17"/>
      <c r="P41" s="18"/>
      <c r="Q41" s="18"/>
      <c r="R41" s="18"/>
      <c r="S41" s="6"/>
      <c r="T41" s="19"/>
      <c r="U41" s="20"/>
    </row>
    <row r="42" spans="1:21" ht="14.4" customHeight="1">
      <c r="A42" s="2">
        <f>ROW()-4</f>
        <v>38</v>
      </c>
      <c r="B42" s="39" t="e">
        <f>R42/L42</f>
        <v>#DIV/0!</v>
      </c>
      <c r="C42" s="2">
        <f>IF(ISBLANK($B42),-1,IFERROR(IF($B42&gt;0.9,2,IF($B42&lt;0.3,1,0)),-1))</f>
        <v>-1</v>
      </c>
      <c r="D42" s="79"/>
      <c r="E42" s="78"/>
      <c r="F42" s="26"/>
      <c r="G42" s="27"/>
      <c r="H42" s="14"/>
      <c r="I42" s="9"/>
      <c r="J42" s="16"/>
      <c r="K42" s="11"/>
      <c r="L42" s="22"/>
      <c r="M42" s="22"/>
      <c r="N42" s="18"/>
      <c r="O42" s="17"/>
      <c r="P42" s="18"/>
      <c r="Q42" s="18"/>
      <c r="R42" s="18"/>
      <c r="S42" s="6"/>
      <c r="T42" s="19"/>
      <c r="U42" s="20"/>
    </row>
    <row r="43" spans="1:21" ht="14.4" customHeight="1">
      <c r="A43" s="2">
        <f>ROW()-4</f>
        <v>39</v>
      </c>
      <c r="B43" s="39" t="e">
        <f>R43/L43</f>
        <v>#DIV/0!</v>
      </c>
      <c r="C43" s="2">
        <f>IF(ISBLANK($B43),-1,IFERROR(IF($B43&gt;0.9,2,IF($B43&lt;0.3,1,0)),-1))</f>
        <v>-1</v>
      </c>
      <c r="D43" s="79"/>
      <c r="E43" s="78"/>
      <c r="F43" s="26"/>
      <c r="G43" s="27"/>
      <c r="H43" s="14"/>
      <c r="I43" s="9"/>
      <c r="J43" s="16"/>
      <c r="K43" s="11"/>
      <c r="L43" s="22"/>
      <c r="M43" s="22"/>
      <c r="N43" s="18"/>
      <c r="O43" s="17"/>
      <c r="P43" s="18"/>
      <c r="Q43" s="18"/>
      <c r="R43" s="18"/>
      <c r="S43" s="6"/>
      <c r="T43" s="19"/>
      <c r="U43" s="20"/>
    </row>
    <row r="44" spans="1:21" ht="14.4" customHeight="1">
      <c r="A44" s="2">
        <f>ROW()-4</f>
        <v>40</v>
      </c>
      <c r="B44" s="39" t="e">
        <f>R44/L44</f>
        <v>#DIV/0!</v>
      </c>
      <c r="C44" s="2">
        <f>IF(ISBLANK($B44),-1,IFERROR(IF($B44&gt;0.9,2,IF($B44&lt;0.3,1,0)),-1))</f>
        <v>-1</v>
      </c>
      <c r="D44" s="79"/>
      <c r="E44" s="78"/>
      <c r="F44" s="26"/>
      <c r="G44" s="27"/>
      <c r="H44" s="14"/>
      <c r="I44" s="9"/>
      <c r="J44" s="16"/>
      <c r="K44" s="11"/>
      <c r="L44" s="22"/>
      <c r="M44" s="22"/>
      <c r="N44" s="18"/>
      <c r="O44" s="17"/>
      <c r="P44" s="18"/>
      <c r="Q44" s="18"/>
      <c r="R44" s="18"/>
      <c r="S44" s="6"/>
      <c r="T44" s="19"/>
      <c r="U44" s="20"/>
    </row>
    <row r="45" spans="1:21" ht="14.4" customHeight="1">
      <c r="A45" s="2">
        <f>ROW()-4</f>
        <v>41</v>
      </c>
      <c r="B45" s="39" t="e">
        <f>R45/L45</f>
        <v>#DIV/0!</v>
      </c>
      <c r="C45" s="2">
        <f>IF(ISBLANK($B45),-1,IFERROR(IF($B45&gt;0.9,2,IF($B45&lt;0.3,1,0)),-1))</f>
        <v>-1</v>
      </c>
      <c r="D45" s="79"/>
      <c r="E45" s="78"/>
      <c r="F45" s="26"/>
      <c r="G45" s="27"/>
      <c r="H45" s="14"/>
      <c r="I45" s="9"/>
      <c r="J45" s="16"/>
      <c r="K45" s="11"/>
      <c r="L45" s="22"/>
      <c r="M45" s="22"/>
      <c r="N45" s="18"/>
      <c r="O45" s="17"/>
      <c r="P45" s="18"/>
      <c r="Q45" s="18"/>
      <c r="R45" s="18"/>
      <c r="S45" s="6"/>
      <c r="T45" s="19"/>
      <c r="U45" s="20"/>
    </row>
    <row r="46" spans="1:21" ht="14.4" customHeight="1">
      <c r="A46" s="2">
        <f>ROW()-4</f>
        <v>42</v>
      </c>
      <c r="B46" s="39" t="e">
        <f>R46/L46</f>
        <v>#DIV/0!</v>
      </c>
      <c r="C46" s="2">
        <f>IF(ISBLANK($B46),-1,IFERROR(IF($B46&gt;0.9,2,IF($B46&lt;0.3,1,0)),-1))</f>
        <v>-1</v>
      </c>
      <c r="D46" s="79"/>
      <c r="E46" s="78"/>
      <c r="F46" s="26"/>
      <c r="G46" s="27"/>
      <c r="H46" s="14"/>
      <c r="I46" s="9"/>
      <c r="J46" s="16"/>
      <c r="K46" s="11"/>
      <c r="L46" s="22"/>
      <c r="M46" s="22"/>
      <c r="N46" s="18"/>
      <c r="O46" s="17"/>
      <c r="P46" s="18"/>
      <c r="Q46" s="18"/>
      <c r="R46" s="18"/>
      <c r="S46" s="6"/>
      <c r="T46" s="19"/>
      <c r="U46" s="20"/>
    </row>
    <row r="47" spans="1:21" ht="14.4" customHeight="1">
      <c r="A47" s="2">
        <f>ROW()-4</f>
        <v>43</v>
      </c>
      <c r="B47" s="39" t="e">
        <f>R47/L47</f>
        <v>#DIV/0!</v>
      </c>
      <c r="C47" s="2">
        <f>IF(ISBLANK($B47),-1,IFERROR(IF($B47&gt;0.9,2,IF($B47&lt;0.3,1,0)),-1))</f>
        <v>-1</v>
      </c>
      <c r="D47" s="79"/>
      <c r="E47" s="78"/>
      <c r="F47" s="26"/>
      <c r="G47" s="27"/>
      <c r="H47" s="14"/>
      <c r="I47" s="9"/>
      <c r="J47" s="16"/>
      <c r="K47" s="11"/>
      <c r="L47" s="22"/>
      <c r="M47" s="22"/>
      <c r="N47" s="18"/>
      <c r="O47" s="17"/>
      <c r="P47" s="18"/>
      <c r="Q47" s="18"/>
      <c r="R47" s="18"/>
      <c r="S47" s="6"/>
      <c r="T47" s="19"/>
      <c r="U47" s="20"/>
    </row>
    <row r="48" spans="1:21" ht="14.4" customHeight="1">
      <c r="A48" s="2">
        <f>ROW()-4</f>
        <v>44</v>
      </c>
      <c r="B48" s="39" t="e">
        <f>R48/L48</f>
        <v>#DIV/0!</v>
      </c>
      <c r="C48" s="2">
        <f>IF(ISBLANK($B48),-1,IFERROR(IF($B48&gt;0.9,2,IF($B48&lt;0.3,1,0)),-1))</f>
        <v>-1</v>
      </c>
      <c r="D48" s="79"/>
      <c r="E48" s="78"/>
      <c r="F48" s="12"/>
      <c r="G48" s="13"/>
      <c r="H48" s="14"/>
      <c r="I48" s="15"/>
      <c r="J48" s="16"/>
      <c r="K48" s="14"/>
      <c r="L48" s="22"/>
      <c r="M48" s="22"/>
      <c r="N48" s="18"/>
      <c r="O48" s="17"/>
      <c r="P48" s="18"/>
      <c r="Q48" s="18"/>
      <c r="R48" s="18"/>
      <c r="S48" s="6"/>
      <c r="T48" s="19"/>
      <c r="U48" s="20"/>
    </row>
    <row r="49" spans="1:21" ht="14.4" customHeight="1">
      <c r="A49" s="2">
        <f>ROW()-4</f>
        <v>45</v>
      </c>
      <c r="B49" s="39" t="e">
        <f>R49/L49</f>
        <v>#DIV/0!</v>
      </c>
      <c r="C49" s="2">
        <f>IF(ISBLANK($B49),-1,IFERROR(IF($B49&gt;0.9,2,IF($B49&lt;0.3,1,0)),-1))</f>
        <v>-1</v>
      </c>
      <c r="D49" s="79"/>
      <c r="E49" s="78"/>
      <c r="F49" s="26"/>
      <c r="G49" s="13"/>
      <c r="H49" s="14"/>
      <c r="I49" s="15"/>
      <c r="J49" s="16"/>
      <c r="K49" s="14"/>
      <c r="L49" s="22"/>
      <c r="M49" s="22"/>
      <c r="N49" s="18"/>
      <c r="O49" s="17"/>
      <c r="P49" s="18"/>
      <c r="Q49" s="18"/>
      <c r="R49" s="18"/>
      <c r="S49" s="23"/>
      <c r="T49" s="24"/>
      <c r="U49" s="25"/>
    </row>
    <row r="50" spans="1:21" ht="14.4" customHeight="1">
      <c r="A50" s="2">
        <f>ROW()-4</f>
        <v>46</v>
      </c>
      <c r="B50" s="39" t="e">
        <f>R50/L50</f>
        <v>#DIV/0!</v>
      </c>
      <c r="C50" s="2">
        <f>IF(ISBLANK($B50),-1,IFERROR(IF($B50&gt;0.9,2,IF($B50&lt;0.3,1,0)),-1))</f>
        <v>-1</v>
      </c>
      <c r="D50" s="79"/>
      <c r="E50" s="78"/>
      <c r="F50" s="26"/>
      <c r="G50" s="13"/>
      <c r="H50" s="14"/>
      <c r="I50" s="15"/>
      <c r="J50" s="16"/>
      <c r="K50" s="14"/>
      <c r="L50" s="22"/>
      <c r="M50" s="22"/>
      <c r="N50" s="18"/>
      <c r="O50" s="17"/>
      <c r="P50" s="18"/>
      <c r="Q50" s="18"/>
      <c r="R50" s="18"/>
      <c r="S50" s="23"/>
      <c r="T50" s="24"/>
      <c r="U50" s="25"/>
    </row>
    <row r="51" spans="1:21" ht="14.4" customHeight="1">
      <c r="A51" s="2">
        <f>ROW()-4</f>
        <v>47</v>
      </c>
      <c r="B51" s="39" t="e">
        <f>R51/L51</f>
        <v>#DIV/0!</v>
      </c>
      <c r="C51" s="2">
        <f>IF(ISBLANK($B51),-1,IFERROR(IF($B51&gt;0.9,2,IF($B51&lt;0.3,1,0)),-1))</f>
        <v>-1</v>
      </c>
      <c r="D51" s="79"/>
      <c r="E51" s="78"/>
      <c r="F51" s="26"/>
      <c r="G51" s="13"/>
      <c r="H51" s="14"/>
      <c r="I51" s="15"/>
      <c r="J51" s="16"/>
      <c r="K51" s="14"/>
      <c r="L51" s="22"/>
      <c r="M51" s="22"/>
      <c r="N51" s="18"/>
      <c r="O51" s="17"/>
      <c r="P51" s="18"/>
      <c r="Q51" s="18"/>
      <c r="R51" s="18"/>
      <c r="S51" s="23"/>
      <c r="T51" s="24"/>
      <c r="U51" s="25"/>
    </row>
    <row r="52" spans="1:21" ht="14.4" customHeight="1">
      <c r="A52" s="2">
        <f>ROW()-4</f>
        <v>48</v>
      </c>
      <c r="B52" s="39" t="e">
        <f>R52/L52</f>
        <v>#DIV/0!</v>
      </c>
      <c r="C52" s="2">
        <f>IF(ISBLANK($B52),-1,IFERROR(IF($B52&gt;0.9,2,IF($B52&lt;0.3,1,0)),-1))</f>
        <v>-1</v>
      </c>
      <c r="D52" s="79"/>
      <c r="E52" s="78"/>
      <c r="F52" s="26"/>
      <c r="G52" s="13"/>
      <c r="H52" s="14"/>
      <c r="I52" s="15"/>
      <c r="J52" s="16"/>
      <c r="K52" s="14"/>
      <c r="L52" s="22"/>
      <c r="M52" s="22"/>
      <c r="N52" s="18"/>
      <c r="O52" s="17"/>
      <c r="P52" s="18"/>
      <c r="Q52" s="18"/>
      <c r="R52" s="18"/>
      <c r="S52" s="23"/>
      <c r="T52" s="24"/>
      <c r="U52" s="25"/>
    </row>
    <row r="53" spans="1:21" ht="14.4" customHeight="1">
      <c r="A53" s="2">
        <f>ROW()-4</f>
        <v>49</v>
      </c>
      <c r="B53" s="39" t="e">
        <f>R53/L53</f>
        <v>#DIV/0!</v>
      </c>
      <c r="C53" s="2">
        <f>IF(ISBLANK($B53),-1,IFERROR(IF($B53&gt;0.9,2,IF($B53&lt;0.3,1,0)),-1))</f>
        <v>-1</v>
      </c>
      <c r="D53" s="79"/>
      <c r="E53" s="78"/>
      <c r="F53" s="26"/>
      <c r="G53" s="13"/>
      <c r="H53" s="14"/>
      <c r="I53" s="15"/>
      <c r="J53" s="16"/>
      <c r="K53" s="14"/>
      <c r="L53" s="22"/>
      <c r="M53" s="22"/>
      <c r="N53" s="18"/>
      <c r="O53" s="17"/>
      <c r="P53" s="18"/>
      <c r="Q53" s="18"/>
      <c r="R53" s="18"/>
      <c r="S53" s="6"/>
      <c r="T53" s="19"/>
      <c r="U53" s="20"/>
    </row>
    <row r="54" spans="1:21" ht="14.4" customHeight="1">
      <c r="A54" s="2">
        <f>ROW()-4</f>
        <v>50</v>
      </c>
      <c r="B54" s="39" t="e">
        <f>R54/L54</f>
        <v>#DIV/0!</v>
      </c>
      <c r="C54" s="2">
        <f>IF(ISBLANK($B54),-1,IFERROR(IF($B54&gt;0.9,2,IF($B54&lt;0.3,1,0)),-1))</f>
        <v>-1</v>
      </c>
      <c r="D54" s="79"/>
      <c r="E54" s="78"/>
      <c r="F54" s="26"/>
      <c r="G54" s="13"/>
      <c r="H54" s="14"/>
      <c r="I54" s="15"/>
      <c r="J54" s="16"/>
      <c r="K54" s="14"/>
      <c r="L54" s="22"/>
      <c r="M54" s="22"/>
      <c r="N54" s="18"/>
      <c r="O54" s="17"/>
      <c r="P54" s="18"/>
      <c r="Q54" s="18"/>
      <c r="R54" s="18"/>
      <c r="S54" s="6"/>
      <c r="T54" s="19"/>
      <c r="U54" s="20"/>
    </row>
    <row r="55" spans="1:21" ht="14.4" customHeight="1">
      <c r="A55" s="2">
        <f>ROW()-4</f>
        <v>51</v>
      </c>
      <c r="B55" s="39" t="e">
        <f>R55/L55</f>
        <v>#DIV/0!</v>
      </c>
      <c r="C55" s="2">
        <f>IF(ISBLANK($B55),-1,IFERROR(IF($B55&gt;0.9,2,IF($B55&lt;0.3,1,0)),-1))</f>
        <v>-1</v>
      </c>
      <c r="D55" s="79"/>
      <c r="E55" s="78"/>
      <c r="F55" s="26"/>
      <c r="G55" s="13"/>
      <c r="H55" s="14"/>
      <c r="I55" s="15"/>
      <c r="J55" s="16"/>
      <c r="K55" s="14"/>
      <c r="L55" s="22"/>
      <c r="M55" s="22"/>
      <c r="N55" s="18"/>
      <c r="O55" s="17"/>
      <c r="P55" s="18"/>
      <c r="Q55" s="18"/>
      <c r="R55" s="18"/>
      <c r="S55" s="6"/>
      <c r="T55" s="19"/>
      <c r="U55" s="20"/>
    </row>
    <row r="56" spans="1:21" ht="14.4" customHeight="1">
      <c r="A56" s="2">
        <f>ROW()-4</f>
        <v>52</v>
      </c>
      <c r="B56" s="39" t="e">
        <f>R56/L56</f>
        <v>#DIV/0!</v>
      </c>
      <c r="C56" s="2">
        <f>IF(ISBLANK($B56),-1,IFERROR(IF($B56&gt;0.9,2,IF($B56&lt;0.3,1,0)),-1))</f>
        <v>-1</v>
      </c>
      <c r="D56" s="79"/>
      <c r="E56" s="78"/>
      <c r="F56" s="26"/>
      <c r="G56" s="13"/>
      <c r="H56" s="14"/>
      <c r="I56" s="9"/>
      <c r="J56" s="16"/>
      <c r="K56" s="14"/>
      <c r="L56" s="22"/>
      <c r="M56" s="22"/>
      <c r="N56" s="18"/>
      <c r="O56" s="17"/>
      <c r="P56" s="18"/>
      <c r="Q56" s="18"/>
      <c r="R56" s="18"/>
      <c r="S56" s="6"/>
      <c r="T56" s="19"/>
      <c r="U56" s="20"/>
    </row>
    <row r="57" spans="1:21" ht="14.4" customHeight="1">
      <c r="A57" s="2">
        <f>ROW()-4</f>
        <v>53</v>
      </c>
      <c r="B57" s="39" t="e">
        <f>R57/L57</f>
        <v>#DIV/0!</v>
      </c>
      <c r="C57" s="2">
        <f>IF(ISBLANK($B57),-1,IFERROR(IF($B57&gt;0.9,2,IF($B57&lt;0.3,1,0)),-1))</f>
        <v>-1</v>
      </c>
      <c r="D57" s="79"/>
      <c r="E57" s="78"/>
      <c r="F57" s="26"/>
      <c r="G57" s="13"/>
      <c r="H57" s="14"/>
      <c r="I57" s="15"/>
      <c r="J57" s="16"/>
      <c r="K57" s="14"/>
      <c r="L57" s="22"/>
      <c r="M57" s="22"/>
      <c r="N57" s="18"/>
      <c r="O57" s="17"/>
      <c r="P57" s="18"/>
      <c r="Q57" s="18"/>
      <c r="R57" s="18"/>
      <c r="S57" s="6"/>
      <c r="T57" s="19"/>
      <c r="U57" s="20"/>
    </row>
    <row r="58" spans="1:21" ht="14.4" customHeight="1">
      <c r="A58" s="2">
        <f>ROW()-4</f>
        <v>54</v>
      </c>
      <c r="B58" s="39" t="e">
        <f>R58/L58</f>
        <v>#DIV/0!</v>
      </c>
      <c r="C58" s="2">
        <f>IF(ISBLANK($B58),-1,IFERROR(IF($B58&gt;0.9,2,IF($B58&lt;0.3,1,0)),-1))</f>
        <v>-1</v>
      </c>
      <c r="D58" s="79"/>
      <c r="E58" s="78"/>
      <c r="F58" s="26"/>
      <c r="G58" s="13"/>
      <c r="H58" s="14"/>
      <c r="I58" s="15"/>
      <c r="J58" s="16"/>
      <c r="K58" s="14"/>
      <c r="L58" s="22"/>
      <c r="M58" s="22"/>
      <c r="N58" s="18"/>
      <c r="O58" s="17"/>
      <c r="P58" s="18"/>
      <c r="Q58" s="18"/>
      <c r="R58" s="18"/>
      <c r="S58" s="6"/>
      <c r="T58" s="19"/>
      <c r="U58" s="20"/>
    </row>
    <row r="59" spans="1:21" ht="14.4" customHeight="1">
      <c r="A59" s="2">
        <f>ROW()-4</f>
        <v>55</v>
      </c>
      <c r="B59" s="39" t="e">
        <f>R59/L59</f>
        <v>#DIV/0!</v>
      </c>
      <c r="C59" s="2">
        <f>IF(ISBLANK($B59),-1,IFERROR(IF($B59&gt;0.9,2,IF($B59&lt;0.3,1,0)),-1))</f>
        <v>-1</v>
      </c>
      <c r="D59" s="79"/>
      <c r="E59" s="78"/>
      <c r="F59" s="26"/>
      <c r="G59" s="27"/>
      <c r="H59" s="14"/>
      <c r="I59" s="15"/>
      <c r="J59" s="16"/>
      <c r="K59" s="11"/>
      <c r="L59" s="22"/>
      <c r="M59" s="22"/>
      <c r="N59" s="18"/>
      <c r="O59" s="17"/>
      <c r="P59" s="18"/>
      <c r="Q59" s="18"/>
      <c r="R59" s="18"/>
      <c r="S59" s="6"/>
      <c r="T59" s="19"/>
      <c r="U59" s="20"/>
    </row>
    <row r="60" spans="1:21" ht="14.4" customHeight="1">
      <c r="A60" s="2">
        <f>ROW()-4</f>
        <v>56</v>
      </c>
      <c r="B60" s="39" t="e">
        <f>R60/L60</f>
        <v>#DIV/0!</v>
      </c>
      <c r="C60" s="2">
        <f>IF(ISBLANK($B60),-1,IFERROR(IF($B60&gt;0.9,2,IF($B60&lt;0.3,1,0)),-1))</f>
        <v>-1</v>
      </c>
      <c r="D60" s="79"/>
      <c r="E60" s="78"/>
      <c r="F60" s="26"/>
      <c r="G60" s="27"/>
      <c r="H60" s="14"/>
      <c r="I60" s="15"/>
      <c r="J60" s="16"/>
      <c r="K60" s="11"/>
      <c r="L60" s="22"/>
      <c r="M60" s="22"/>
      <c r="N60" s="18"/>
      <c r="O60" s="17"/>
      <c r="P60" s="18"/>
      <c r="Q60" s="18"/>
      <c r="R60" s="18"/>
      <c r="S60" s="6"/>
      <c r="T60" s="19"/>
      <c r="U60" s="20"/>
    </row>
    <row r="61" spans="1:21" ht="14.4" customHeight="1">
      <c r="A61" s="2">
        <f>ROW()-4</f>
        <v>57</v>
      </c>
      <c r="B61" s="39" t="e">
        <f>R61/L61</f>
        <v>#DIV/0!</v>
      </c>
      <c r="C61" s="2">
        <f>IF(ISBLANK($B61),-1,IFERROR(IF($B61&gt;0.9,2,IF($B61&lt;0.3,1,0)),-1))</f>
        <v>-1</v>
      </c>
      <c r="D61" s="79"/>
      <c r="E61" s="78"/>
      <c r="F61" s="26"/>
      <c r="G61" s="27"/>
      <c r="H61" s="14"/>
      <c r="I61" s="15"/>
      <c r="J61" s="16"/>
      <c r="K61" s="11"/>
      <c r="L61" s="22"/>
      <c r="M61" s="22"/>
      <c r="N61" s="18"/>
      <c r="O61" s="17"/>
      <c r="P61" s="18"/>
      <c r="Q61" s="18"/>
      <c r="R61" s="18"/>
      <c r="S61" s="6"/>
      <c r="T61" s="19"/>
      <c r="U61" s="20"/>
    </row>
    <row r="62" spans="1:21" ht="14.4" customHeight="1">
      <c r="A62" s="2">
        <f>ROW()-4</f>
        <v>58</v>
      </c>
      <c r="B62" s="39" t="e">
        <f>R62/L62</f>
        <v>#DIV/0!</v>
      </c>
      <c r="C62" s="2">
        <f>IF(ISBLANK($B62),-1,IFERROR(IF($B62&gt;0.9,2,IF($B62&lt;0.3,1,0)),-1))</f>
        <v>-1</v>
      </c>
      <c r="D62" s="79"/>
      <c r="E62" s="78"/>
      <c r="F62" s="12"/>
      <c r="G62" s="13"/>
      <c r="H62" s="14"/>
      <c r="I62" s="15"/>
      <c r="J62" s="16"/>
      <c r="K62" s="14"/>
      <c r="L62" s="22"/>
      <c r="M62" s="22"/>
      <c r="N62" s="18"/>
      <c r="O62" s="17"/>
      <c r="P62" s="18"/>
      <c r="Q62" s="18"/>
      <c r="R62" s="18"/>
      <c r="S62" s="6"/>
      <c r="T62" s="19"/>
      <c r="U62" s="20"/>
    </row>
    <row r="63" spans="1:21" ht="14.4" customHeight="1">
      <c r="A63" s="2">
        <f>ROW()-4</f>
        <v>59</v>
      </c>
      <c r="B63" s="39" t="e">
        <f>R63/L63</f>
        <v>#DIV/0!</v>
      </c>
      <c r="C63" s="2">
        <f>IF(ISBLANK($B63),-1,IFERROR(IF($B63&gt;0.9,2,IF($B63&lt;0.3,1,0)),-1))</f>
        <v>-1</v>
      </c>
      <c r="D63" s="79"/>
      <c r="E63" s="78"/>
      <c r="F63" s="26"/>
      <c r="G63" s="13"/>
      <c r="H63" s="14"/>
      <c r="I63" s="15"/>
      <c r="J63" s="16"/>
      <c r="K63" s="14"/>
      <c r="L63" s="22"/>
      <c r="M63" s="22"/>
      <c r="N63" s="18"/>
      <c r="O63" s="17"/>
      <c r="P63" s="18"/>
      <c r="Q63" s="18"/>
      <c r="R63" s="18"/>
      <c r="S63" s="6"/>
      <c r="T63" s="19"/>
      <c r="U63" s="20"/>
    </row>
    <row r="64" spans="1:21" ht="14.4" customHeight="1">
      <c r="A64" s="2">
        <f>ROW()-4</f>
        <v>60</v>
      </c>
      <c r="B64" s="39" t="e">
        <f>R64/L64</f>
        <v>#DIV/0!</v>
      </c>
      <c r="C64" s="2">
        <f>IF(ISBLANK($B64),-1,IFERROR(IF($B64&gt;0.9,2,IF($B64&lt;0.3,1,0)),-1))</f>
        <v>-1</v>
      </c>
      <c r="D64" s="79"/>
      <c r="E64" s="78"/>
      <c r="F64" s="26"/>
      <c r="G64" s="13"/>
      <c r="H64" s="14"/>
      <c r="I64" s="15"/>
      <c r="J64" s="16"/>
      <c r="K64" s="14"/>
      <c r="L64" s="22"/>
      <c r="M64" s="22"/>
      <c r="N64" s="18"/>
      <c r="O64" s="17"/>
      <c r="P64" s="18"/>
      <c r="Q64" s="18"/>
      <c r="R64" s="18"/>
      <c r="S64" s="6"/>
      <c r="T64" s="19"/>
      <c r="U64" s="20"/>
    </row>
    <row r="65" spans="1:21" ht="14.4" customHeight="1">
      <c r="A65" s="2">
        <f>ROW()-4</f>
        <v>61</v>
      </c>
      <c r="B65" s="39" t="e">
        <f>R65/L65</f>
        <v>#DIV/0!</v>
      </c>
      <c r="C65" s="2">
        <f>IF(ISBLANK($B65),-1,IFERROR(IF($B65&gt;0.9,2,IF($B65&lt;0.3,1,0)),-1))</f>
        <v>-1</v>
      </c>
      <c r="D65" s="79"/>
      <c r="E65" s="78"/>
      <c r="F65" s="26"/>
      <c r="G65" s="27"/>
      <c r="H65" s="14"/>
      <c r="I65" s="15"/>
      <c r="J65" s="16"/>
      <c r="K65" s="11"/>
      <c r="L65" s="22"/>
      <c r="M65" s="22"/>
      <c r="N65" s="18"/>
      <c r="O65" s="17"/>
      <c r="P65" s="18"/>
      <c r="Q65" s="18"/>
      <c r="R65" s="18"/>
      <c r="S65" s="6"/>
      <c r="T65" s="19"/>
      <c r="U65" s="20"/>
    </row>
    <row r="66" spans="1:21" ht="14.4" customHeight="1">
      <c r="A66" s="2">
        <f>ROW()-4</f>
        <v>62</v>
      </c>
      <c r="B66" s="39" t="e">
        <f>R66/L66</f>
        <v>#DIV/0!</v>
      </c>
      <c r="C66" s="2">
        <f>IF(ISBLANK($B66),-1,IFERROR(IF($B66&gt;0.9,2,IF($B66&lt;0.3,1,0)),-1))</f>
        <v>-1</v>
      </c>
      <c r="D66" s="79"/>
      <c r="E66" s="78"/>
      <c r="F66" s="26"/>
      <c r="G66" s="27"/>
      <c r="H66" s="14"/>
      <c r="I66" s="15"/>
      <c r="J66" s="16"/>
      <c r="K66" s="11"/>
      <c r="L66" s="22"/>
      <c r="M66" s="22"/>
      <c r="N66" s="18"/>
      <c r="O66" s="17"/>
      <c r="P66" s="18"/>
      <c r="Q66" s="18"/>
      <c r="R66" s="18"/>
      <c r="S66" s="6"/>
      <c r="T66" s="19"/>
      <c r="U66" s="20"/>
    </row>
    <row r="67" spans="1:21" ht="14.4" customHeight="1">
      <c r="A67" s="2">
        <f>ROW()-4</f>
        <v>63</v>
      </c>
      <c r="B67" s="39" t="e">
        <f>R67/L67</f>
        <v>#DIV/0!</v>
      </c>
      <c r="C67" s="2">
        <f>IF(ISBLANK($B67),-1,IFERROR(IF($B67&gt;0.9,2,IF($B67&lt;0.3,1,0)),-1))</f>
        <v>-1</v>
      </c>
      <c r="D67" s="79"/>
      <c r="E67" s="78"/>
      <c r="F67" s="26"/>
      <c r="G67" s="27"/>
      <c r="H67" s="14"/>
      <c r="I67" s="15"/>
      <c r="J67" s="16"/>
      <c r="K67" s="11"/>
      <c r="L67" s="22"/>
      <c r="M67" s="22"/>
      <c r="N67" s="18"/>
      <c r="O67" s="17"/>
      <c r="P67" s="18"/>
      <c r="Q67" s="18"/>
      <c r="R67" s="18"/>
      <c r="S67" s="6"/>
      <c r="T67" s="19"/>
      <c r="U67" s="20"/>
    </row>
    <row r="68" spans="1:21" ht="14.4" customHeight="1">
      <c r="A68" s="2">
        <f>ROW()-4</f>
        <v>64</v>
      </c>
      <c r="B68" s="39" t="e">
        <f>R68/L68</f>
        <v>#DIV/0!</v>
      </c>
      <c r="C68" s="2">
        <f>IF(ISBLANK($B68),-1,IFERROR(IF($B68&gt;0.9,2,IF($B68&lt;0.3,1,0)),-1))</f>
        <v>-1</v>
      </c>
      <c r="D68" s="79"/>
      <c r="E68" s="78"/>
      <c r="F68" s="26"/>
      <c r="G68" s="27"/>
      <c r="H68" s="14"/>
      <c r="I68" s="15"/>
      <c r="J68" s="16"/>
      <c r="K68" s="11"/>
      <c r="L68" s="22"/>
      <c r="M68" s="22"/>
      <c r="N68" s="18"/>
      <c r="O68" s="17"/>
      <c r="P68" s="18"/>
      <c r="Q68" s="18"/>
      <c r="R68" s="18"/>
      <c r="S68" s="6"/>
      <c r="T68" s="19"/>
      <c r="U68" s="20"/>
    </row>
    <row r="69" spans="1:21" ht="14.4" customHeight="1">
      <c r="A69" s="2">
        <f>ROW()-4</f>
        <v>65</v>
      </c>
      <c r="B69" s="39" t="e">
        <f>R69/L69</f>
        <v>#DIV/0!</v>
      </c>
      <c r="C69" s="2">
        <f>IF(ISBLANK($B69),-1,IFERROR(IF($B69&gt;0.9,2,IF($B69&lt;0.3,1,0)),-1))</f>
        <v>-1</v>
      </c>
      <c r="D69" s="79"/>
      <c r="E69" s="78"/>
      <c r="F69" s="26"/>
      <c r="G69" s="27"/>
      <c r="H69" s="14"/>
      <c r="I69" s="15"/>
      <c r="J69" s="16"/>
      <c r="K69" s="11"/>
      <c r="L69" s="22"/>
      <c r="M69" s="22"/>
      <c r="N69" s="18"/>
      <c r="O69" s="17"/>
      <c r="P69" s="18"/>
      <c r="Q69" s="18"/>
      <c r="R69" s="18"/>
      <c r="S69" s="6"/>
      <c r="T69" s="19"/>
      <c r="U69" s="20"/>
    </row>
    <row r="70" spans="1:21" ht="14.4" customHeight="1">
      <c r="A70" s="2">
        <f>ROW()-4</f>
        <v>66</v>
      </c>
      <c r="B70" s="39" t="e">
        <f>R70/L70</f>
        <v>#DIV/0!</v>
      </c>
      <c r="C70" s="2">
        <f>IF(ISBLANK($B70),-1,IFERROR(IF($B70&gt;0.9,2,IF($B70&lt;0.3,1,0)),-1))</f>
        <v>-1</v>
      </c>
      <c r="D70" s="79"/>
      <c r="E70" s="78"/>
      <c r="F70" s="26"/>
      <c r="G70" s="27"/>
      <c r="H70" s="14"/>
      <c r="I70" s="15"/>
      <c r="J70" s="16"/>
      <c r="K70" s="11"/>
      <c r="L70" s="22"/>
      <c r="M70" s="22"/>
      <c r="N70" s="18"/>
      <c r="O70" s="17"/>
      <c r="P70" s="18"/>
      <c r="Q70" s="18"/>
      <c r="R70" s="18"/>
      <c r="S70" s="6"/>
      <c r="T70" s="19"/>
      <c r="U70" s="20"/>
    </row>
    <row r="71" spans="1:21" ht="14.4" customHeight="1">
      <c r="A71" s="2">
        <f>ROW()-4</f>
        <v>67</v>
      </c>
      <c r="B71" s="39" t="e">
        <f>R71/L71</f>
        <v>#DIV/0!</v>
      </c>
      <c r="C71" s="2">
        <f>IF(ISBLANK($B71),-1,IFERROR(IF($B71&gt;0.9,2,IF($B71&lt;0.3,1,0)),-1))</f>
        <v>-1</v>
      </c>
      <c r="D71" s="79"/>
      <c r="E71" s="78"/>
      <c r="F71" s="26"/>
      <c r="G71" s="27"/>
      <c r="H71" s="14"/>
      <c r="I71" s="15"/>
      <c r="J71" s="16"/>
      <c r="K71" s="11"/>
      <c r="L71" s="22"/>
      <c r="M71" s="22"/>
      <c r="N71" s="18"/>
      <c r="O71" s="17"/>
      <c r="P71" s="18"/>
      <c r="Q71" s="18"/>
      <c r="R71" s="18"/>
      <c r="S71" s="6"/>
      <c r="T71" s="19"/>
      <c r="U71" s="20"/>
    </row>
    <row r="72" spans="1:21" ht="14.4" customHeight="1">
      <c r="A72" s="2">
        <f>ROW()-4</f>
        <v>68</v>
      </c>
      <c r="B72" s="39" t="e">
        <f>R72/L72</f>
        <v>#DIV/0!</v>
      </c>
      <c r="C72" s="2">
        <f>IF(ISBLANK($B72),-1,IFERROR(IF($B72&gt;0.9,2,IF($B72&lt;0.3,1,0)),-1))</f>
        <v>-1</v>
      </c>
      <c r="D72" s="79"/>
      <c r="E72" s="78"/>
      <c r="F72" s="26"/>
      <c r="G72" s="27"/>
      <c r="H72" s="14"/>
      <c r="I72" s="15"/>
      <c r="J72" s="16"/>
      <c r="K72" s="11"/>
      <c r="L72" s="22"/>
      <c r="M72" s="22"/>
      <c r="N72" s="18"/>
      <c r="O72" s="17"/>
      <c r="P72" s="18"/>
      <c r="Q72" s="18"/>
      <c r="R72" s="18"/>
      <c r="S72" s="6"/>
      <c r="T72" s="19"/>
      <c r="U72" s="20"/>
    </row>
    <row r="73" spans="1:21" ht="14.4" customHeight="1">
      <c r="A73" s="2">
        <f>ROW()-4</f>
        <v>69</v>
      </c>
      <c r="B73" s="39" t="e">
        <f>R73/L73</f>
        <v>#DIV/0!</v>
      </c>
      <c r="C73" s="2">
        <f>IF(ISBLANK($B73),-1,IFERROR(IF($B73&gt;0.9,2,IF($B73&lt;0.3,1,0)),-1))</f>
        <v>-1</v>
      </c>
      <c r="D73" s="79"/>
      <c r="E73" s="78"/>
      <c r="F73" s="26"/>
      <c r="G73" s="27"/>
      <c r="H73" s="14"/>
      <c r="I73" s="15"/>
      <c r="J73" s="16"/>
      <c r="K73" s="11"/>
      <c r="L73" s="22"/>
      <c r="M73" s="22"/>
      <c r="N73" s="18"/>
      <c r="O73" s="17"/>
      <c r="P73" s="18"/>
      <c r="Q73" s="18"/>
      <c r="R73" s="18"/>
      <c r="S73" s="6"/>
      <c r="T73" s="19"/>
      <c r="U73" s="20"/>
    </row>
    <row r="74" spans="1:21" ht="14.4" customHeight="1">
      <c r="A74" s="2">
        <f>ROW()-4</f>
        <v>70</v>
      </c>
      <c r="B74" s="39" t="e">
        <f>R74/L74</f>
        <v>#DIV/0!</v>
      </c>
      <c r="C74" s="2">
        <f>IF(ISBLANK($B74),-1,IFERROR(IF($B74&gt;0.9,2,IF($B74&lt;0.3,1,0)),-1))</f>
        <v>-1</v>
      </c>
      <c r="D74" s="79"/>
      <c r="E74" s="78"/>
      <c r="F74" s="12"/>
      <c r="G74" s="13"/>
      <c r="H74" s="14"/>
      <c r="I74" s="15"/>
      <c r="J74" s="16"/>
      <c r="K74" s="14"/>
      <c r="L74" s="22"/>
      <c r="M74" s="22"/>
      <c r="N74" s="18"/>
      <c r="O74" s="17"/>
      <c r="P74" s="18"/>
      <c r="Q74" s="18"/>
      <c r="R74" s="18"/>
      <c r="S74" s="6"/>
      <c r="T74" s="19"/>
      <c r="U74" s="20"/>
    </row>
    <row r="75" spans="1:21" ht="14.4" customHeight="1">
      <c r="A75" s="2">
        <f>ROW()-4</f>
        <v>71</v>
      </c>
      <c r="B75" s="39" t="e">
        <f>R75/L75</f>
        <v>#DIV/0!</v>
      </c>
      <c r="C75" s="2">
        <f>IF(ISBLANK($B75),-1,IFERROR(IF($B75&gt;0.9,2,IF($B75&lt;0.3,1,0)),-1))</f>
        <v>-1</v>
      </c>
      <c r="D75" s="79"/>
      <c r="E75" s="78"/>
      <c r="F75" s="26"/>
      <c r="G75" s="27"/>
      <c r="H75" s="14"/>
      <c r="I75" s="15"/>
      <c r="J75" s="16"/>
      <c r="K75" s="11"/>
      <c r="L75" s="22"/>
      <c r="M75" s="22"/>
      <c r="N75" s="18"/>
      <c r="O75" s="17"/>
      <c r="P75" s="18"/>
      <c r="Q75" s="18"/>
      <c r="R75" s="18"/>
      <c r="S75" s="28"/>
      <c r="T75" s="29"/>
      <c r="U75" s="30"/>
    </row>
    <row r="76" spans="1:21" ht="14.4" customHeight="1">
      <c r="A76" s="2">
        <f>ROW()-4</f>
        <v>72</v>
      </c>
      <c r="B76" s="39" t="e">
        <f>R76/L76</f>
        <v>#DIV/0!</v>
      </c>
      <c r="C76" s="2">
        <f>IF(ISBLANK($B76),-1,IFERROR(IF($B76&gt;0.9,2,IF($B76&lt;0.3,1,0)),-1))</f>
        <v>-1</v>
      </c>
      <c r="D76" s="79"/>
      <c r="E76" s="78"/>
      <c r="F76" s="26"/>
      <c r="G76" s="27"/>
      <c r="H76" s="14"/>
      <c r="I76" s="15"/>
      <c r="J76" s="16"/>
      <c r="K76" s="11"/>
      <c r="L76" s="22"/>
      <c r="M76" s="22"/>
      <c r="N76" s="18"/>
      <c r="O76" s="17"/>
      <c r="P76" s="18"/>
      <c r="Q76" s="18"/>
      <c r="R76" s="18"/>
      <c r="S76" s="28"/>
      <c r="T76" s="29"/>
      <c r="U76" s="30"/>
    </row>
    <row r="77" spans="1:21" ht="14.4" customHeight="1">
      <c r="A77" s="2">
        <f>ROW()-4</f>
        <v>73</v>
      </c>
      <c r="B77" s="39" t="e">
        <f>R77/L77</f>
        <v>#DIV/0!</v>
      </c>
      <c r="C77" s="2">
        <f>IF(ISBLANK($B77),-1,IFERROR(IF($B77&gt;0.9,2,IF($B77&lt;0.3,1,0)),-1))</f>
        <v>-1</v>
      </c>
      <c r="D77" s="79"/>
      <c r="E77" s="78"/>
      <c r="F77" s="26"/>
      <c r="G77" s="27"/>
      <c r="H77" s="14"/>
      <c r="I77" s="15"/>
      <c r="J77" s="16"/>
      <c r="K77" s="11"/>
      <c r="L77" s="22"/>
      <c r="M77" s="22"/>
      <c r="N77" s="18"/>
      <c r="O77" s="17"/>
      <c r="P77" s="18"/>
      <c r="Q77" s="18"/>
      <c r="R77" s="18"/>
      <c r="S77" s="28"/>
      <c r="T77" s="29"/>
      <c r="U77" s="30"/>
    </row>
    <row r="78" spans="1:21" ht="14.4" customHeight="1">
      <c r="A78" s="2">
        <f>ROW()-4</f>
        <v>74</v>
      </c>
      <c r="B78" s="39" t="e">
        <f>R78/L78</f>
        <v>#DIV/0!</v>
      </c>
      <c r="C78" s="2">
        <f>IF(ISBLANK($B78),-1,IFERROR(IF($B78&gt;0.9,2,IF($B78&lt;0.3,1,0)),-1))</f>
        <v>-1</v>
      </c>
      <c r="D78" s="79"/>
      <c r="E78" s="78"/>
      <c r="F78" s="26"/>
      <c r="G78" s="27"/>
      <c r="H78" s="14"/>
      <c r="I78" s="15"/>
      <c r="J78" s="16"/>
      <c r="K78" s="11"/>
      <c r="L78" s="22"/>
      <c r="M78" s="22"/>
      <c r="N78" s="18"/>
      <c r="O78" s="17"/>
      <c r="P78" s="18"/>
      <c r="Q78" s="18"/>
      <c r="R78" s="18"/>
      <c r="S78" s="28"/>
      <c r="T78" s="29"/>
      <c r="U78" s="30"/>
    </row>
    <row r="79" spans="1:21" ht="14.4" customHeight="1">
      <c r="A79" s="2">
        <f>ROW()-4</f>
        <v>75</v>
      </c>
      <c r="B79" s="39" t="e">
        <f>R79/L79</f>
        <v>#DIV/0!</v>
      </c>
      <c r="C79" s="2">
        <f>IF(ISBLANK($B79),-1,IFERROR(IF($B79&gt;0.9,2,IF($B79&lt;0.3,1,0)),-1))</f>
        <v>-1</v>
      </c>
      <c r="D79" s="79"/>
      <c r="E79" s="78"/>
      <c r="F79" s="26"/>
      <c r="G79" s="27"/>
      <c r="H79" s="14"/>
      <c r="I79" s="15"/>
      <c r="J79" s="16"/>
      <c r="K79" s="11"/>
      <c r="L79" s="22"/>
      <c r="M79" s="22"/>
      <c r="N79" s="18"/>
      <c r="O79" s="17"/>
      <c r="P79" s="18"/>
      <c r="Q79" s="18"/>
      <c r="R79" s="18"/>
      <c r="S79" s="28"/>
      <c r="T79" s="29"/>
      <c r="U79" s="30"/>
    </row>
    <row r="80" spans="1:21" ht="14.4" customHeight="1">
      <c r="A80" s="2">
        <f>ROW()-4</f>
        <v>76</v>
      </c>
      <c r="B80" s="39" t="e">
        <f>R80/L80</f>
        <v>#DIV/0!</v>
      </c>
      <c r="C80" s="2">
        <f>IF(ISBLANK($B80),-1,IFERROR(IF($B80&gt;0.9,2,IF($B80&lt;0.3,1,0)),-1))</f>
        <v>-1</v>
      </c>
      <c r="D80" s="79"/>
      <c r="E80" s="78"/>
      <c r="F80" s="26"/>
      <c r="G80" s="27"/>
      <c r="H80" s="14"/>
      <c r="I80" s="15"/>
      <c r="J80" s="16"/>
      <c r="K80" s="11"/>
      <c r="L80" s="22"/>
      <c r="M80" s="22"/>
      <c r="N80" s="18"/>
      <c r="O80" s="17"/>
      <c r="P80" s="18"/>
      <c r="Q80" s="18"/>
      <c r="R80" s="18"/>
      <c r="S80" s="28"/>
      <c r="T80" s="29"/>
      <c r="U80" s="30"/>
    </row>
    <row r="81" spans="1:21" ht="14.4" customHeight="1">
      <c r="A81" s="2">
        <f>ROW()-4</f>
        <v>77</v>
      </c>
      <c r="B81" s="39" t="e">
        <f>R81/L81</f>
        <v>#DIV/0!</v>
      </c>
      <c r="C81" s="2">
        <f>IF(ISBLANK($B81),-1,IFERROR(IF($B81&gt;0.9,2,IF($B81&lt;0.3,1,0)),-1))</f>
        <v>-1</v>
      </c>
      <c r="D81" s="79"/>
      <c r="E81" s="78"/>
      <c r="F81" s="26"/>
      <c r="G81" s="27"/>
      <c r="H81" s="14"/>
      <c r="I81" s="15"/>
      <c r="J81" s="16"/>
      <c r="K81" s="11"/>
      <c r="L81" s="22"/>
      <c r="M81" s="22"/>
      <c r="N81" s="18"/>
      <c r="O81" s="17"/>
      <c r="P81" s="18"/>
      <c r="Q81" s="18"/>
      <c r="R81" s="18"/>
      <c r="S81" s="28"/>
      <c r="T81" s="29"/>
      <c r="U81" s="30"/>
    </row>
    <row r="82" spans="1:21" ht="14.4" customHeight="1">
      <c r="A82" s="2">
        <f>ROW()-4</f>
        <v>78</v>
      </c>
      <c r="B82" s="39" t="e">
        <f>R82/L82</f>
        <v>#DIV/0!</v>
      </c>
      <c r="C82" s="2">
        <f>IF(ISBLANK($B82),-1,IFERROR(IF($B82&gt;0.9,2,IF($B82&lt;0.3,1,0)),-1))</f>
        <v>-1</v>
      </c>
      <c r="D82" s="79"/>
      <c r="E82" s="78"/>
      <c r="F82" s="26"/>
      <c r="G82" s="27"/>
      <c r="H82" s="14"/>
      <c r="I82" s="15"/>
      <c r="J82" s="16"/>
      <c r="K82" s="11"/>
      <c r="L82" s="22"/>
      <c r="M82" s="22"/>
      <c r="N82" s="18"/>
      <c r="O82" s="17"/>
      <c r="P82" s="18"/>
      <c r="Q82" s="18"/>
      <c r="R82" s="18"/>
      <c r="S82" s="28"/>
      <c r="T82" s="29"/>
      <c r="U82" s="30"/>
    </row>
    <row r="83" spans="1:21" ht="14.4" customHeight="1">
      <c r="A83" s="2">
        <f>ROW()-4</f>
        <v>79</v>
      </c>
      <c r="B83" s="39" t="e">
        <f>R83/L83</f>
        <v>#DIV/0!</v>
      </c>
      <c r="C83" s="2">
        <f>IF(ISBLANK($B83),-1,IFERROR(IF($B83&gt;0.9,2,IF($B83&lt;0.3,1,0)),-1))</f>
        <v>-1</v>
      </c>
      <c r="D83" s="79"/>
      <c r="E83" s="78"/>
      <c r="F83" s="26"/>
      <c r="G83" s="27"/>
      <c r="H83" s="14"/>
      <c r="I83" s="15"/>
      <c r="J83" s="16"/>
      <c r="K83" s="11"/>
      <c r="L83" s="22"/>
      <c r="M83" s="22"/>
      <c r="N83" s="18"/>
      <c r="O83" s="17"/>
      <c r="P83" s="18"/>
      <c r="Q83" s="18"/>
      <c r="R83" s="18"/>
      <c r="S83" s="28"/>
      <c r="T83" s="29"/>
      <c r="U83" s="30"/>
    </row>
    <row r="84" spans="1:21" ht="14.4" customHeight="1">
      <c r="A84" s="2">
        <f>ROW()-4</f>
        <v>80</v>
      </c>
      <c r="B84" s="39" t="e">
        <f>R84/L84</f>
        <v>#DIV/0!</v>
      </c>
      <c r="C84" s="2">
        <f>IF(ISBLANK($B84),-1,IFERROR(IF($B84&gt;0.9,2,IF($B84&lt;0.3,1,0)),-1))</f>
        <v>-1</v>
      </c>
      <c r="D84" s="79"/>
      <c r="E84" s="78"/>
      <c r="F84" s="26"/>
      <c r="G84" s="27"/>
      <c r="H84" s="14"/>
      <c r="I84" s="15"/>
      <c r="J84" s="16"/>
      <c r="K84" s="11"/>
      <c r="L84" s="22"/>
      <c r="M84" s="22"/>
      <c r="N84" s="18"/>
      <c r="O84" s="17"/>
      <c r="P84" s="18"/>
      <c r="Q84" s="18"/>
      <c r="R84" s="18"/>
      <c r="S84" s="28"/>
      <c r="T84" s="29"/>
      <c r="U84" s="30"/>
    </row>
    <row r="85" spans="1:21" ht="14.4" customHeight="1">
      <c r="A85" s="2">
        <f>ROW()-4</f>
        <v>81</v>
      </c>
      <c r="B85" s="39" t="e">
        <f>R85/L85</f>
        <v>#DIV/0!</v>
      </c>
      <c r="C85" s="2">
        <f>IF(ISBLANK($B85),-1,IFERROR(IF($B85&gt;0.9,2,IF($B85&lt;0.3,1,0)),-1))</f>
        <v>-1</v>
      </c>
      <c r="D85" s="79"/>
      <c r="E85" s="78"/>
      <c r="F85" s="26"/>
      <c r="G85" s="27"/>
      <c r="H85" s="14"/>
      <c r="I85" s="15"/>
      <c r="J85" s="16"/>
      <c r="K85" s="11"/>
      <c r="L85" s="22"/>
      <c r="M85" s="22"/>
      <c r="N85" s="18"/>
      <c r="O85" s="17"/>
      <c r="P85" s="18"/>
      <c r="Q85" s="18"/>
      <c r="R85" s="18"/>
      <c r="S85" s="28"/>
      <c r="T85" s="29"/>
      <c r="U85" s="30"/>
    </row>
    <row r="86" spans="1:21" ht="14.4" customHeight="1">
      <c r="A86" s="2">
        <f>ROW()-4</f>
        <v>82</v>
      </c>
      <c r="B86" s="39" t="e">
        <f>R86/L86</f>
        <v>#DIV/0!</v>
      </c>
      <c r="C86" s="2">
        <f>IF(ISBLANK($B86),-1,IFERROR(IF($B86&gt;0.9,2,IF($B86&lt;0.3,1,0)),-1))</f>
        <v>-1</v>
      </c>
      <c r="D86" s="79"/>
      <c r="E86" s="78"/>
      <c r="F86" s="26"/>
      <c r="G86" s="27"/>
      <c r="H86" s="14"/>
      <c r="I86" s="15"/>
      <c r="J86" s="16"/>
      <c r="K86" s="11"/>
      <c r="L86" s="22"/>
      <c r="M86" s="22"/>
      <c r="N86" s="18"/>
      <c r="O86" s="17"/>
      <c r="P86" s="18"/>
      <c r="Q86" s="18"/>
      <c r="R86" s="18"/>
      <c r="S86" s="28"/>
      <c r="T86" s="29"/>
      <c r="U86" s="30"/>
    </row>
    <row r="87" spans="1:21" ht="14.4" customHeight="1">
      <c r="A87" s="2">
        <f>ROW()-4</f>
        <v>83</v>
      </c>
      <c r="B87" s="39" t="e">
        <f>R87/L87</f>
        <v>#DIV/0!</v>
      </c>
      <c r="C87" s="2">
        <f>IF(ISBLANK($B87),-1,IFERROR(IF($B87&gt;0.9,2,IF($B87&lt;0.3,1,0)),-1))</f>
        <v>-1</v>
      </c>
      <c r="D87" s="79"/>
      <c r="E87" s="78"/>
      <c r="F87" s="26"/>
      <c r="G87" s="27"/>
      <c r="H87" s="14"/>
      <c r="I87" s="15"/>
      <c r="J87" s="16"/>
      <c r="K87" s="11"/>
      <c r="L87" s="22"/>
      <c r="M87" s="22"/>
      <c r="N87" s="18"/>
      <c r="O87" s="17"/>
      <c r="P87" s="18"/>
      <c r="Q87" s="18"/>
      <c r="R87" s="18"/>
      <c r="S87" s="28"/>
      <c r="T87" s="29"/>
      <c r="U87" s="30"/>
    </row>
    <row r="88" spans="1:21" ht="14.4" customHeight="1">
      <c r="A88" s="2">
        <f>ROW()-4</f>
        <v>84</v>
      </c>
      <c r="B88" s="39" t="e">
        <f>R88/L88</f>
        <v>#DIV/0!</v>
      </c>
      <c r="C88" s="2">
        <f>IF(ISBLANK($B88),-1,IFERROR(IF($B88&gt;0.9,2,IF($B88&lt;0.3,1,0)),-1))</f>
        <v>-1</v>
      </c>
      <c r="D88" s="79"/>
      <c r="E88" s="78"/>
      <c r="F88" s="26"/>
      <c r="G88" s="27"/>
      <c r="H88" s="14"/>
      <c r="I88" s="15"/>
      <c r="J88" s="16"/>
      <c r="K88" s="11"/>
      <c r="L88" s="22"/>
      <c r="M88" s="22"/>
      <c r="N88" s="18"/>
      <c r="O88" s="17"/>
      <c r="P88" s="18"/>
      <c r="Q88" s="18"/>
      <c r="R88" s="18"/>
      <c r="S88" s="28"/>
      <c r="T88" s="29"/>
      <c r="U88" s="30"/>
    </row>
    <row r="89" spans="1:21" ht="14.4" customHeight="1">
      <c r="A89" s="2">
        <f>ROW()-4</f>
        <v>85</v>
      </c>
      <c r="B89" s="39" t="e">
        <f>R89/L89</f>
        <v>#DIV/0!</v>
      </c>
      <c r="C89" s="2">
        <f>IF(ISBLANK($B89),-1,IFERROR(IF($B89&gt;0.9,2,IF($B89&lt;0.3,1,0)),-1))</f>
        <v>-1</v>
      </c>
      <c r="D89" s="79"/>
      <c r="E89" s="78"/>
      <c r="F89" s="26"/>
      <c r="G89" s="27"/>
      <c r="H89" s="14"/>
      <c r="I89" s="15"/>
      <c r="J89" s="16"/>
      <c r="K89" s="11"/>
      <c r="L89" s="22"/>
      <c r="M89" s="22"/>
      <c r="N89" s="18"/>
      <c r="O89" s="17"/>
      <c r="P89" s="18"/>
      <c r="Q89" s="18"/>
      <c r="R89" s="18"/>
      <c r="S89" s="28"/>
      <c r="T89" s="29"/>
      <c r="U89" s="30"/>
    </row>
    <row r="90" spans="1:21" ht="14.4" customHeight="1">
      <c r="A90" s="2">
        <f>ROW()-4</f>
        <v>86</v>
      </c>
      <c r="B90" s="39" t="e">
        <f>R90/L90</f>
        <v>#DIV/0!</v>
      </c>
      <c r="C90" s="2">
        <f>IF(ISBLANK($B90),-1,IFERROR(IF($B90&gt;0.9,2,IF($B90&lt;0.3,1,0)),-1))</f>
        <v>-1</v>
      </c>
      <c r="D90" s="79"/>
      <c r="E90" s="78"/>
      <c r="F90" s="26"/>
      <c r="G90" s="27"/>
      <c r="H90" s="14"/>
      <c r="I90" s="15"/>
      <c r="J90" s="16"/>
      <c r="K90" s="11"/>
      <c r="L90" s="22"/>
      <c r="M90" s="22"/>
      <c r="N90" s="18"/>
      <c r="O90" s="17"/>
      <c r="P90" s="18"/>
      <c r="Q90" s="18"/>
      <c r="R90" s="18"/>
      <c r="S90" s="28"/>
      <c r="T90" s="29"/>
      <c r="U90" s="30"/>
    </row>
    <row r="91" spans="1:21" ht="14.4" customHeight="1">
      <c r="A91" s="2">
        <f>ROW()-4</f>
        <v>87</v>
      </c>
      <c r="B91" s="39" t="e">
        <f>R91/L91</f>
        <v>#DIV/0!</v>
      </c>
      <c r="C91" s="2">
        <f>IF(ISBLANK($B91),-1,IFERROR(IF($B91&gt;0.9,2,IF($B91&lt;0.3,1,0)),-1))</f>
        <v>-1</v>
      </c>
      <c r="D91" s="79"/>
      <c r="E91" s="78"/>
      <c r="F91" s="26"/>
      <c r="G91" s="27"/>
      <c r="H91" s="14"/>
      <c r="I91" s="15"/>
      <c r="J91" s="16"/>
      <c r="K91" s="11"/>
      <c r="L91" s="22"/>
      <c r="M91" s="22"/>
      <c r="N91" s="18"/>
      <c r="O91" s="17"/>
      <c r="P91" s="18"/>
      <c r="Q91" s="18"/>
      <c r="R91" s="18"/>
      <c r="S91" s="28"/>
      <c r="T91" s="29"/>
      <c r="U91" s="30"/>
    </row>
    <row r="92" spans="1:21" ht="14.4" customHeight="1">
      <c r="A92" s="2">
        <f>ROW()-4</f>
        <v>88</v>
      </c>
      <c r="B92" s="39" t="e">
        <f>R92/L92</f>
        <v>#DIV/0!</v>
      </c>
      <c r="C92" s="2">
        <f>IF(ISBLANK($B92),-1,IFERROR(IF($B92&gt;0.9,2,IF($B92&lt;0.3,1,0)),-1))</f>
        <v>-1</v>
      </c>
      <c r="D92" s="79"/>
      <c r="E92" s="78"/>
      <c r="F92" s="26"/>
      <c r="G92" s="27"/>
      <c r="H92" s="14"/>
      <c r="I92" s="15"/>
      <c r="J92" s="16"/>
      <c r="K92" s="11"/>
      <c r="L92" s="22"/>
      <c r="M92" s="22"/>
      <c r="N92" s="18"/>
      <c r="O92" s="17"/>
      <c r="P92" s="18"/>
      <c r="Q92" s="18"/>
      <c r="R92" s="18"/>
      <c r="S92" s="28"/>
      <c r="T92" s="29"/>
      <c r="U92" s="30"/>
    </row>
    <row r="93" spans="1:21" ht="14.4" customHeight="1">
      <c r="A93" s="2">
        <f>ROW()-4</f>
        <v>89</v>
      </c>
      <c r="B93" s="39" t="e">
        <f>R93/L93</f>
        <v>#DIV/0!</v>
      </c>
      <c r="C93" s="2">
        <f>IF(ISBLANK($B93),-1,IFERROR(IF($B93&gt;0.9,2,IF($B93&lt;0.3,1,0)),-1))</f>
        <v>-1</v>
      </c>
      <c r="D93" s="79"/>
      <c r="E93" s="78"/>
      <c r="F93" s="26"/>
      <c r="G93" s="27"/>
      <c r="H93" s="14"/>
      <c r="I93" s="15"/>
      <c r="J93" s="16"/>
      <c r="K93" s="11"/>
      <c r="L93" s="22"/>
      <c r="M93" s="22"/>
      <c r="N93" s="18"/>
      <c r="O93" s="17"/>
      <c r="P93" s="18"/>
      <c r="Q93" s="18"/>
      <c r="R93" s="18"/>
      <c r="S93" s="28"/>
      <c r="T93" s="29"/>
      <c r="U93" s="30"/>
    </row>
    <row r="94" spans="1:21" ht="14.4" customHeight="1">
      <c r="A94" s="2">
        <f>ROW()-4</f>
        <v>90</v>
      </c>
      <c r="B94" s="39" t="e">
        <f>R94/L94</f>
        <v>#DIV/0!</v>
      </c>
      <c r="C94" s="2">
        <f>IF(ISBLANK($B94),-1,IFERROR(IF($B94&gt;0.9,2,IF($B94&lt;0.3,1,0)),-1))</f>
        <v>-1</v>
      </c>
      <c r="D94" s="79"/>
      <c r="E94" s="78"/>
      <c r="F94" s="26"/>
      <c r="G94" s="27"/>
      <c r="H94" s="14"/>
      <c r="I94" s="15"/>
      <c r="J94" s="16"/>
      <c r="K94" s="11"/>
      <c r="L94" s="22"/>
      <c r="M94" s="22"/>
      <c r="N94" s="18"/>
      <c r="O94" s="17"/>
      <c r="P94" s="18"/>
      <c r="Q94" s="18"/>
      <c r="R94" s="18"/>
      <c r="S94" s="28"/>
      <c r="T94" s="29"/>
      <c r="U94" s="30"/>
    </row>
    <row r="95" spans="1:21" ht="14.4" customHeight="1">
      <c r="A95" s="2">
        <f>ROW()-4</f>
        <v>91</v>
      </c>
      <c r="B95" s="39" t="e">
        <f>R95/L95</f>
        <v>#DIV/0!</v>
      </c>
      <c r="C95" s="2">
        <f>IF(ISBLANK($B95),-1,IFERROR(IF($B95&gt;0.9,2,IF($B95&lt;0.3,1,0)),-1))</f>
        <v>-1</v>
      </c>
      <c r="D95" s="79"/>
      <c r="E95" s="78"/>
      <c r="F95" s="26"/>
      <c r="G95" s="27"/>
      <c r="H95" s="14"/>
      <c r="I95" s="9"/>
      <c r="J95" s="16"/>
      <c r="K95" s="11"/>
      <c r="L95" s="22"/>
      <c r="M95" s="22"/>
      <c r="N95" s="18"/>
      <c r="O95" s="17"/>
      <c r="P95" s="18"/>
      <c r="Q95" s="18"/>
      <c r="R95" s="18"/>
      <c r="S95" s="28"/>
      <c r="T95" s="29"/>
      <c r="U95" s="30"/>
    </row>
    <row r="96" spans="1:21" ht="14.4" customHeight="1">
      <c r="A96" s="2">
        <f>ROW()-4</f>
        <v>92</v>
      </c>
      <c r="B96" s="39" t="e">
        <f>R96/L96</f>
        <v>#DIV/0!</v>
      </c>
      <c r="C96" s="2">
        <f>IF(ISBLANK($B96),-1,IFERROR(IF($B96&gt;0.9,2,IF($B96&lt;0.3,1,0)),-1))</f>
        <v>-1</v>
      </c>
      <c r="D96" s="79"/>
      <c r="E96" s="78"/>
      <c r="F96" s="26"/>
      <c r="G96" s="27"/>
      <c r="H96" s="14"/>
      <c r="I96" s="9"/>
      <c r="J96" s="16"/>
      <c r="K96" s="11"/>
      <c r="L96" s="22"/>
      <c r="M96" s="22"/>
      <c r="N96" s="18"/>
      <c r="O96" s="17"/>
      <c r="P96" s="18"/>
      <c r="Q96" s="18"/>
      <c r="R96" s="18"/>
      <c r="S96" s="28"/>
      <c r="T96" s="29"/>
      <c r="U96" s="30"/>
    </row>
    <row r="97" spans="1:21" ht="14.4" customHeight="1">
      <c r="A97" s="2">
        <f>ROW()-4</f>
        <v>93</v>
      </c>
      <c r="B97" s="39" t="e">
        <f>R97/L97</f>
        <v>#DIV/0!</v>
      </c>
      <c r="C97" s="2">
        <f>IF(ISBLANK($B97),-1,IFERROR(IF($B97&gt;0.9,2,IF($B97&lt;0.3,1,0)),-1))</f>
        <v>-1</v>
      </c>
      <c r="D97" s="79"/>
      <c r="E97" s="78"/>
      <c r="F97" s="26"/>
      <c r="G97" s="27"/>
      <c r="H97" s="14"/>
      <c r="I97" s="9"/>
      <c r="J97" s="16"/>
      <c r="K97" s="11"/>
      <c r="L97" s="22"/>
      <c r="M97" s="22"/>
      <c r="N97" s="18"/>
      <c r="O97" s="17"/>
      <c r="P97" s="18"/>
      <c r="Q97" s="18"/>
      <c r="R97" s="18"/>
      <c r="S97" s="28"/>
      <c r="T97" s="29"/>
      <c r="U97" s="30"/>
    </row>
    <row r="98" spans="1:21" ht="14.4" customHeight="1">
      <c r="A98" s="2">
        <f>ROW()-4</f>
        <v>94</v>
      </c>
      <c r="B98" s="39" t="e">
        <f>R98/L98</f>
        <v>#DIV/0!</v>
      </c>
      <c r="C98" s="2">
        <f>IF(ISBLANK($B98),-1,IFERROR(IF($B98&gt;0.9,2,IF($B98&lt;0.3,1,0)),-1))</f>
        <v>-1</v>
      </c>
      <c r="D98" s="79"/>
      <c r="E98" s="78"/>
      <c r="F98" s="26"/>
      <c r="G98" s="27"/>
      <c r="H98" s="14"/>
      <c r="I98" s="15"/>
      <c r="J98" s="16"/>
      <c r="K98" s="11"/>
      <c r="L98" s="22"/>
      <c r="M98" s="22"/>
      <c r="N98" s="18"/>
      <c r="O98" s="17"/>
      <c r="P98" s="18"/>
      <c r="Q98" s="18"/>
      <c r="R98" s="18"/>
      <c r="S98" s="28"/>
      <c r="T98" s="29"/>
      <c r="U98" s="30"/>
    </row>
    <row r="99" spans="1:21" ht="14.4" customHeight="1">
      <c r="A99" s="2">
        <f>ROW()-4</f>
        <v>95</v>
      </c>
      <c r="B99" s="39" t="e">
        <f>R99/L99</f>
        <v>#DIV/0!</v>
      </c>
      <c r="C99" s="2">
        <f>IF(ISBLANK($B99),-1,IFERROR(IF($B99&gt;0.9,2,IF($B99&lt;0.3,1,0)),-1))</f>
        <v>-1</v>
      </c>
      <c r="D99" s="79"/>
      <c r="E99" s="78"/>
      <c r="F99" s="26"/>
      <c r="G99" s="27"/>
      <c r="H99" s="14"/>
      <c r="I99" s="15"/>
      <c r="J99" s="16"/>
      <c r="K99" s="11"/>
      <c r="L99" s="22"/>
      <c r="M99" s="22"/>
      <c r="N99" s="18"/>
      <c r="O99" s="17"/>
      <c r="P99" s="18"/>
      <c r="Q99" s="18"/>
      <c r="R99" s="18"/>
      <c r="S99" s="28"/>
      <c r="T99" s="29"/>
      <c r="U99" s="30"/>
    </row>
    <row r="100" spans="1:21" ht="14.4" customHeight="1">
      <c r="A100" s="2">
        <f>ROW()-4</f>
        <v>96</v>
      </c>
      <c r="B100" s="39" t="e">
        <f>R100/L100</f>
        <v>#DIV/0!</v>
      </c>
      <c r="C100" s="2">
        <f>IF(ISBLANK($B100),-1,IFERROR(IF($B100&gt;0.9,2,IF($B100&lt;0.3,1,0)),-1))</f>
        <v>-1</v>
      </c>
      <c r="D100" s="79"/>
      <c r="E100" s="78"/>
      <c r="F100" s="26"/>
      <c r="G100" s="27"/>
      <c r="H100" s="14"/>
      <c r="I100" s="15"/>
      <c r="J100" s="16"/>
      <c r="K100" s="11"/>
      <c r="L100" s="22"/>
      <c r="M100" s="22"/>
      <c r="N100" s="18"/>
      <c r="O100" s="17"/>
      <c r="P100" s="18"/>
      <c r="Q100" s="18"/>
      <c r="R100" s="18"/>
      <c r="S100" s="28"/>
      <c r="T100" s="29"/>
      <c r="U100" s="30"/>
    </row>
    <row r="101" spans="1:21" ht="14.4" customHeight="1">
      <c r="A101" s="2">
        <f>ROW()-4</f>
        <v>97</v>
      </c>
      <c r="B101" s="39" t="e">
        <f>R101/L101</f>
        <v>#DIV/0!</v>
      </c>
      <c r="C101" s="2">
        <f>IF(ISBLANK($B101),-1,IFERROR(IF($B101&gt;0.9,2,IF($B101&lt;0.3,1,0)),-1))</f>
        <v>-1</v>
      </c>
      <c r="D101" s="79"/>
      <c r="E101" s="78"/>
      <c r="F101" s="26"/>
      <c r="G101" s="27"/>
      <c r="H101" s="14"/>
      <c r="I101" s="15"/>
      <c r="J101" s="16"/>
      <c r="K101" s="11"/>
      <c r="L101" s="22"/>
      <c r="M101" s="22"/>
      <c r="N101" s="18"/>
      <c r="O101" s="17"/>
      <c r="P101" s="18"/>
      <c r="Q101" s="18"/>
      <c r="R101" s="18"/>
      <c r="S101" s="28"/>
      <c r="T101" s="29"/>
      <c r="U101" s="30"/>
    </row>
    <row r="102" spans="1:21" ht="14.4" customHeight="1">
      <c r="A102" s="2">
        <f>ROW()-4</f>
        <v>98</v>
      </c>
      <c r="B102" s="39" t="e">
        <f>R102/L102</f>
        <v>#DIV/0!</v>
      </c>
      <c r="C102" s="2">
        <f>IF(ISBLANK($B102),-1,IFERROR(IF($B102&gt;0.9,2,IF($B102&lt;0.3,1,0)),-1))</f>
        <v>-1</v>
      </c>
      <c r="D102" s="79"/>
      <c r="E102" s="78"/>
      <c r="F102" s="26"/>
      <c r="G102" s="27"/>
      <c r="H102" s="14"/>
      <c r="I102" s="15"/>
      <c r="J102" s="16"/>
      <c r="K102" s="11"/>
      <c r="L102" s="22"/>
      <c r="M102" s="22"/>
      <c r="N102" s="18"/>
      <c r="O102" s="17"/>
      <c r="P102" s="18"/>
      <c r="Q102" s="18"/>
      <c r="R102" s="18"/>
      <c r="S102" s="28"/>
      <c r="T102" s="29"/>
      <c r="U102" s="30"/>
    </row>
    <row r="103" spans="1:21" ht="14.4" customHeight="1">
      <c r="A103" s="2">
        <f>ROW()-4</f>
        <v>99</v>
      </c>
      <c r="B103" s="39" t="e">
        <f>R103/L103</f>
        <v>#DIV/0!</v>
      </c>
      <c r="C103" s="2">
        <f>IF(ISBLANK($B103),-1,IFERROR(IF($B103&gt;0.9,2,IF($B103&lt;0.3,1,0)),-1))</f>
        <v>-1</v>
      </c>
      <c r="D103" s="79"/>
      <c r="E103" s="78"/>
      <c r="F103" s="26"/>
      <c r="G103" s="27"/>
      <c r="H103" s="14"/>
      <c r="I103" s="15"/>
      <c r="J103" s="16"/>
      <c r="K103" s="11"/>
      <c r="L103" s="22"/>
      <c r="M103" s="22"/>
      <c r="N103" s="18"/>
      <c r="O103" s="17"/>
      <c r="P103" s="18"/>
      <c r="Q103" s="18"/>
      <c r="R103" s="18"/>
      <c r="S103" s="28"/>
      <c r="T103" s="29"/>
      <c r="U103" s="30"/>
    </row>
    <row r="104" spans="1:21" ht="14.4" customHeight="1">
      <c r="A104" s="2">
        <f>ROW()-4</f>
        <v>100</v>
      </c>
      <c r="B104" s="39" t="e">
        <f>R104/L104</f>
        <v>#DIV/0!</v>
      </c>
      <c r="C104" s="2">
        <f>IF(ISBLANK($B104),-1,IFERROR(IF($B104&gt;0.9,2,IF($B104&lt;0.3,1,0)),-1))</f>
        <v>-1</v>
      </c>
      <c r="D104" s="79"/>
      <c r="E104" s="78"/>
      <c r="F104" s="26"/>
      <c r="G104" s="27"/>
      <c r="H104" s="14"/>
      <c r="I104" s="15"/>
      <c r="J104" s="16"/>
      <c r="K104" s="11"/>
      <c r="L104" s="22"/>
      <c r="M104" s="22"/>
      <c r="N104" s="18"/>
      <c r="O104" s="17"/>
      <c r="P104" s="18"/>
      <c r="Q104" s="18"/>
      <c r="R104" s="18"/>
      <c r="S104" s="28"/>
      <c r="T104" s="29"/>
      <c r="U104" s="30"/>
    </row>
    <row r="105" spans="1:21" ht="14.4" customHeight="1">
      <c r="A105" s="2">
        <f>ROW()-4</f>
        <v>101</v>
      </c>
      <c r="B105" s="39" t="e">
        <f>R105/L105</f>
        <v>#DIV/0!</v>
      </c>
      <c r="C105" s="2">
        <f>IF(ISBLANK($B105),-1,IFERROR(IF($B105&gt;0.9,2,IF($B105&lt;0.3,1,0)),-1))</f>
        <v>-1</v>
      </c>
      <c r="D105" s="79"/>
      <c r="E105" s="78"/>
      <c r="F105" s="26"/>
      <c r="G105" s="27"/>
      <c r="H105" s="14"/>
      <c r="I105" s="15"/>
      <c r="J105" s="16"/>
      <c r="K105" s="11"/>
      <c r="L105" s="22"/>
      <c r="M105" s="22"/>
      <c r="N105" s="18"/>
      <c r="O105" s="17"/>
      <c r="P105" s="18"/>
      <c r="Q105" s="18"/>
      <c r="R105" s="18"/>
      <c r="S105" s="28"/>
      <c r="T105" s="29"/>
      <c r="U105" s="30"/>
    </row>
    <row r="106" spans="1:21" ht="14.4" customHeight="1">
      <c r="A106" s="2">
        <f>ROW()-4</f>
        <v>102</v>
      </c>
      <c r="B106" s="39" t="e">
        <f>R106/L106</f>
        <v>#DIV/0!</v>
      </c>
      <c r="C106" s="2">
        <f>IF(ISBLANK($B106),-1,IFERROR(IF($B106&gt;0.9,2,IF($B106&lt;0.3,1,0)),-1))</f>
        <v>-1</v>
      </c>
      <c r="D106" s="79"/>
      <c r="E106" s="78"/>
      <c r="F106" s="26"/>
      <c r="G106" s="27"/>
      <c r="H106" s="14"/>
      <c r="I106" s="15"/>
      <c r="J106" s="16"/>
      <c r="K106" s="11"/>
      <c r="L106" s="22"/>
      <c r="M106" s="22"/>
      <c r="N106" s="18"/>
      <c r="O106" s="17"/>
      <c r="P106" s="18"/>
      <c r="Q106" s="18"/>
      <c r="R106" s="18"/>
      <c r="S106" s="28"/>
      <c r="T106" s="29"/>
      <c r="U106" s="30"/>
    </row>
    <row r="107" spans="1:21" ht="14.4" customHeight="1">
      <c r="A107" s="2">
        <f>ROW()-4</f>
        <v>103</v>
      </c>
      <c r="B107" s="39" t="e">
        <f>R107/L107</f>
        <v>#DIV/0!</v>
      </c>
      <c r="C107" s="2">
        <f>IF(ISBLANK($B107),-1,IFERROR(IF($B107&gt;0.9,2,IF($B107&lt;0.3,1,0)),-1))</f>
        <v>-1</v>
      </c>
      <c r="D107" s="79"/>
      <c r="E107" s="78"/>
      <c r="F107" s="26"/>
      <c r="G107" s="27"/>
      <c r="H107" s="14"/>
      <c r="I107" s="15"/>
      <c r="J107" s="16"/>
      <c r="K107" s="11"/>
      <c r="L107" s="22"/>
      <c r="M107" s="22"/>
      <c r="N107" s="18"/>
      <c r="O107" s="17"/>
      <c r="P107" s="18"/>
      <c r="Q107" s="18"/>
      <c r="R107" s="18"/>
      <c r="S107" s="28"/>
      <c r="T107" s="29"/>
      <c r="U107" s="30"/>
    </row>
    <row r="108" spans="1:21" ht="14.4" customHeight="1">
      <c r="A108" s="2">
        <f>ROW()-4</f>
        <v>104</v>
      </c>
      <c r="B108" s="39" t="e">
        <f>R108/L108</f>
        <v>#DIV/0!</v>
      </c>
      <c r="C108" s="2">
        <f>IF(ISBLANK($B108),-1,IFERROR(IF($B108&gt;0.9,2,IF($B108&lt;0.3,1,0)),-1))</f>
        <v>-1</v>
      </c>
      <c r="D108" s="79"/>
      <c r="E108" s="78"/>
      <c r="F108" s="26"/>
      <c r="G108" s="27"/>
      <c r="H108" s="14"/>
      <c r="I108" s="15"/>
      <c r="J108" s="16"/>
      <c r="K108" s="11"/>
      <c r="L108" s="22"/>
      <c r="M108" s="22"/>
      <c r="N108" s="18"/>
      <c r="O108" s="17"/>
      <c r="P108" s="18"/>
      <c r="Q108" s="18"/>
      <c r="R108" s="18"/>
      <c r="S108" s="28"/>
      <c r="T108" s="29"/>
      <c r="U108" s="30"/>
    </row>
    <row r="109" spans="1:21" ht="14.4" customHeight="1">
      <c r="A109" s="2">
        <f>ROW()-4</f>
        <v>105</v>
      </c>
      <c r="B109" s="39" t="e">
        <f>R109/L109</f>
        <v>#DIV/0!</v>
      </c>
      <c r="C109" s="2">
        <f>IF(ISBLANK($B109),-1,IFERROR(IF($B109&gt;0.9,2,IF($B109&lt;0.3,1,0)),-1))</f>
        <v>-1</v>
      </c>
      <c r="D109" s="79"/>
      <c r="E109" s="78"/>
      <c r="F109" s="26"/>
      <c r="G109" s="27"/>
      <c r="H109" s="14"/>
      <c r="I109" s="15"/>
      <c r="J109" s="16"/>
      <c r="K109" s="11"/>
      <c r="L109" s="22"/>
      <c r="M109" s="22"/>
      <c r="N109" s="18"/>
      <c r="O109" s="17"/>
      <c r="P109" s="18"/>
      <c r="Q109" s="18"/>
      <c r="R109" s="18"/>
      <c r="S109" s="28"/>
      <c r="T109" s="29"/>
      <c r="U109" s="30"/>
    </row>
    <row r="110" spans="1:21" ht="14.4" customHeight="1">
      <c r="A110" s="2">
        <f>ROW()-4</f>
        <v>106</v>
      </c>
      <c r="B110" s="39" t="e">
        <f>R110/L110</f>
        <v>#DIV/0!</v>
      </c>
      <c r="C110" s="2">
        <f>IF(ISBLANK($B110),-1,IFERROR(IF($B110&gt;0.9,2,IF($B110&lt;0.3,1,0)),-1))</f>
        <v>-1</v>
      </c>
      <c r="D110" s="79"/>
      <c r="E110" s="78"/>
      <c r="F110" s="26"/>
      <c r="G110" s="27"/>
      <c r="H110" s="14"/>
      <c r="I110" s="15"/>
      <c r="J110" s="16"/>
      <c r="K110" s="11"/>
      <c r="L110" s="22"/>
      <c r="M110" s="22"/>
      <c r="N110" s="18"/>
      <c r="O110" s="17"/>
      <c r="P110" s="18"/>
      <c r="Q110" s="18"/>
      <c r="R110" s="18"/>
      <c r="S110" s="28"/>
      <c r="T110" s="29"/>
      <c r="U110" s="30"/>
    </row>
    <row r="111" spans="1:21" ht="14.4" customHeight="1">
      <c r="A111" s="2">
        <f>ROW()-4</f>
        <v>107</v>
      </c>
      <c r="B111" s="39" t="e">
        <f>R111/L111</f>
        <v>#DIV/0!</v>
      </c>
      <c r="C111" s="2">
        <f>IF(ISBLANK($B111),-1,IFERROR(IF($B111&gt;0.9,2,IF($B111&lt;0.3,1,0)),-1))</f>
        <v>-1</v>
      </c>
      <c r="D111" s="79"/>
      <c r="E111" s="78"/>
      <c r="F111" s="26"/>
      <c r="G111" s="27"/>
      <c r="H111" s="14"/>
      <c r="I111" s="15"/>
      <c r="J111" s="16"/>
      <c r="K111" s="11"/>
      <c r="L111" s="22"/>
      <c r="M111" s="22"/>
      <c r="N111" s="18"/>
      <c r="O111" s="17"/>
      <c r="P111" s="18"/>
      <c r="Q111" s="18"/>
      <c r="R111" s="18"/>
      <c r="S111" s="28"/>
      <c r="T111" s="29"/>
      <c r="U111" s="30"/>
    </row>
    <row r="112" spans="1:21" ht="14.4" customHeight="1">
      <c r="A112" s="2">
        <f>ROW()-4</f>
        <v>108</v>
      </c>
      <c r="B112" s="39" t="e">
        <f>R112/L112</f>
        <v>#DIV/0!</v>
      </c>
      <c r="C112" s="2">
        <f>IF(ISBLANK($B112),-1,IFERROR(IF($B112&gt;0.9,2,IF($B112&lt;0.3,1,0)),-1))</f>
        <v>-1</v>
      </c>
      <c r="D112" s="79"/>
      <c r="E112" s="78"/>
      <c r="F112" s="26"/>
      <c r="G112" s="27"/>
      <c r="H112" s="14"/>
      <c r="I112" s="15"/>
      <c r="J112" s="16"/>
      <c r="K112" s="11"/>
      <c r="L112" s="22"/>
      <c r="M112" s="22"/>
      <c r="N112" s="18"/>
      <c r="O112" s="17"/>
      <c r="P112" s="18"/>
      <c r="Q112" s="18"/>
      <c r="R112" s="18"/>
      <c r="S112" s="28"/>
      <c r="T112" s="29"/>
      <c r="U112" s="30"/>
    </row>
    <row r="113" spans="1:21" ht="14.4" customHeight="1">
      <c r="A113" s="2">
        <f>ROW()-4</f>
        <v>109</v>
      </c>
      <c r="B113" s="39" t="e">
        <f>R113/L113</f>
        <v>#DIV/0!</v>
      </c>
      <c r="C113" s="2">
        <f>IF(ISBLANK($B113),-1,IFERROR(IF($B113&gt;0.9,2,IF($B113&lt;0.3,1,0)),-1))</f>
        <v>-1</v>
      </c>
      <c r="D113" s="79"/>
      <c r="E113" s="78"/>
      <c r="F113" s="26"/>
      <c r="G113" s="27"/>
      <c r="H113" s="14"/>
      <c r="I113" s="15"/>
      <c r="J113" s="16"/>
      <c r="K113" s="11"/>
      <c r="L113" s="22"/>
      <c r="M113" s="22"/>
      <c r="N113" s="18"/>
      <c r="O113" s="17"/>
      <c r="P113" s="18"/>
      <c r="Q113" s="18"/>
      <c r="R113" s="18"/>
      <c r="S113" s="28"/>
      <c r="T113" s="29"/>
      <c r="U113" s="30"/>
    </row>
    <row r="114" spans="1:21" ht="14.4" customHeight="1">
      <c r="A114" s="2">
        <f>ROW()-4</f>
        <v>110</v>
      </c>
      <c r="B114" s="39" t="e">
        <f>R114/L114</f>
        <v>#DIV/0!</v>
      </c>
      <c r="C114" s="2">
        <f>IF(ISBLANK($B114),-1,IFERROR(IF($B114&gt;0.9,2,IF($B114&lt;0.3,1,0)),-1))</f>
        <v>-1</v>
      </c>
      <c r="D114" s="79"/>
      <c r="E114" s="78"/>
      <c r="F114" s="26"/>
      <c r="G114" s="27"/>
      <c r="H114" s="14"/>
      <c r="I114" s="15"/>
      <c r="J114" s="16"/>
      <c r="K114" s="11"/>
      <c r="L114" s="22"/>
      <c r="M114" s="22"/>
      <c r="N114" s="18"/>
      <c r="O114" s="17"/>
      <c r="P114" s="18"/>
      <c r="Q114" s="18"/>
      <c r="R114" s="18"/>
      <c r="S114" s="28"/>
      <c r="T114" s="29"/>
      <c r="U114" s="30"/>
    </row>
    <row r="115" spans="1:21" ht="14.4" customHeight="1">
      <c r="A115" s="2">
        <f>ROW()-4</f>
        <v>111</v>
      </c>
      <c r="B115" s="39" t="e">
        <f>R115/L115</f>
        <v>#DIV/0!</v>
      </c>
      <c r="C115" s="2">
        <f>IF(ISBLANK($B115),-1,IFERROR(IF($B115&gt;0.9,2,IF($B115&lt;0.3,1,0)),-1))</f>
        <v>-1</v>
      </c>
      <c r="D115" s="79"/>
      <c r="E115" s="78"/>
      <c r="F115" s="26"/>
      <c r="G115" s="27"/>
      <c r="H115" s="14"/>
      <c r="I115" s="15"/>
      <c r="J115" s="16"/>
      <c r="K115" s="11"/>
      <c r="L115" s="22"/>
      <c r="M115" s="22"/>
      <c r="N115" s="18"/>
      <c r="O115" s="17"/>
      <c r="P115" s="18"/>
      <c r="Q115" s="18"/>
      <c r="R115" s="18"/>
      <c r="S115" s="28"/>
      <c r="T115" s="29"/>
      <c r="U115" s="30"/>
    </row>
    <row r="116" spans="1:21" ht="14.4" customHeight="1">
      <c r="A116" s="2">
        <f>ROW()-4</f>
        <v>112</v>
      </c>
      <c r="B116" s="39" t="e">
        <f>R116/L116</f>
        <v>#DIV/0!</v>
      </c>
      <c r="C116" s="2">
        <f>IF(ISBLANK($B116),-1,IFERROR(IF($B116&gt;0.9,2,IF($B116&lt;0.3,1,0)),-1))</f>
        <v>-1</v>
      </c>
      <c r="D116" s="79"/>
      <c r="E116" s="78"/>
      <c r="F116" s="26"/>
      <c r="G116" s="27"/>
      <c r="H116" s="14"/>
      <c r="I116" s="15"/>
      <c r="J116" s="16"/>
      <c r="K116" s="11"/>
      <c r="L116" s="22"/>
      <c r="M116" s="22"/>
      <c r="N116" s="18"/>
      <c r="O116" s="17"/>
      <c r="P116" s="18"/>
      <c r="Q116" s="18"/>
      <c r="R116" s="18"/>
      <c r="S116" s="28"/>
      <c r="T116" s="29"/>
      <c r="U116" s="30"/>
    </row>
    <row r="117" spans="1:21" ht="14.4" customHeight="1">
      <c r="A117" s="2">
        <f>ROW()-4</f>
        <v>113</v>
      </c>
      <c r="B117" s="39" t="e">
        <f>R117/L117</f>
        <v>#DIV/0!</v>
      </c>
      <c r="C117" s="2">
        <f>IF(ISBLANK($B117),-1,IFERROR(IF($B117&gt;0.9,2,IF($B117&lt;0.3,1,0)),-1))</f>
        <v>-1</v>
      </c>
      <c r="D117" s="79"/>
      <c r="E117" s="78"/>
      <c r="F117" s="26"/>
      <c r="G117" s="27"/>
      <c r="H117" s="14"/>
      <c r="I117" s="15"/>
      <c r="J117" s="16"/>
      <c r="K117" s="11"/>
      <c r="L117" s="22"/>
      <c r="M117" s="22"/>
      <c r="N117" s="18"/>
      <c r="O117" s="17"/>
      <c r="P117" s="18"/>
      <c r="Q117" s="18"/>
      <c r="R117" s="18"/>
      <c r="S117" s="28"/>
      <c r="T117" s="29"/>
      <c r="U117" s="30"/>
    </row>
    <row r="118" spans="1:21" ht="14.4" customHeight="1">
      <c r="A118" s="2">
        <f>ROW()-4</f>
        <v>114</v>
      </c>
      <c r="B118" s="39" t="e">
        <f>R118/L118</f>
        <v>#DIV/0!</v>
      </c>
      <c r="C118" s="2">
        <f>IF(ISBLANK($B118),-1,IFERROR(IF($B118&gt;0.9,2,IF($B118&lt;0.3,1,0)),-1))</f>
        <v>-1</v>
      </c>
      <c r="D118" s="79"/>
      <c r="E118" s="78"/>
      <c r="F118" s="26"/>
      <c r="G118" s="27"/>
      <c r="H118" s="14"/>
      <c r="I118" s="15"/>
      <c r="J118" s="16"/>
      <c r="K118" s="11"/>
      <c r="L118" s="22"/>
      <c r="M118" s="22"/>
      <c r="N118" s="18"/>
      <c r="O118" s="17"/>
      <c r="P118" s="18"/>
      <c r="Q118" s="18"/>
      <c r="R118" s="18"/>
      <c r="S118" s="28"/>
      <c r="T118" s="29"/>
      <c r="U118" s="30"/>
    </row>
    <row r="119" spans="1:21" ht="14.4" customHeight="1">
      <c r="A119" s="2">
        <f>ROW()-4</f>
        <v>115</v>
      </c>
      <c r="B119" s="39" t="e">
        <f>R119/L119</f>
        <v>#DIV/0!</v>
      </c>
      <c r="C119" s="2">
        <f>IF(ISBLANK($B119),-1,IFERROR(IF($B119&gt;0.9,2,IF($B119&lt;0.3,1,0)),-1))</f>
        <v>-1</v>
      </c>
      <c r="D119" s="79"/>
      <c r="E119" s="78"/>
      <c r="F119" s="26"/>
      <c r="G119" s="27"/>
      <c r="H119" s="14"/>
      <c r="I119" s="15"/>
      <c r="J119" s="16"/>
      <c r="K119" s="11"/>
      <c r="L119" s="22"/>
      <c r="M119" s="22"/>
      <c r="N119" s="18"/>
      <c r="O119" s="17"/>
      <c r="P119" s="18"/>
      <c r="Q119" s="18"/>
      <c r="R119" s="18"/>
      <c r="S119" s="6"/>
      <c r="T119" s="19"/>
      <c r="U119" s="20"/>
    </row>
    <row r="120" spans="1:21" ht="14.4" customHeight="1">
      <c r="A120" s="2">
        <f>ROW()-4</f>
        <v>116</v>
      </c>
      <c r="B120" s="39" t="e">
        <f>R120/L120</f>
        <v>#DIV/0!</v>
      </c>
      <c r="C120" s="2">
        <f>IF(ISBLANK($B120),-1,IFERROR(IF($B120&gt;0.9,2,IF($B120&lt;0.3,1,0)),-1))</f>
        <v>-1</v>
      </c>
      <c r="D120" s="79"/>
      <c r="E120" s="78"/>
      <c r="F120" s="26"/>
      <c r="G120" s="27"/>
      <c r="H120" s="14"/>
      <c r="I120" s="15"/>
      <c r="J120" s="16"/>
      <c r="K120" s="11"/>
      <c r="L120" s="22"/>
      <c r="M120" s="22"/>
      <c r="N120" s="18"/>
      <c r="O120" s="17"/>
      <c r="P120" s="18"/>
      <c r="Q120" s="18"/>
      <c r="R120" s="18"/>
      <c r="S120" s="6"/>
      <c r="T120" s="19"/>
      <c r="U120" s="20"/>
    </row>
    <row r="121" spans="1:21" ht="14.4" customHeight="1">
      <c r="A121" s="2">
        <f>ROW()-4</f>
        <v>117</v>
      </c>
      <c r="B121" s="39" t="e">
        <f>R121/L121</f>
        <v>#DIV/0!</v>
      </c>
      <c r="C121" s="2">
        <f>IF(ISBLANK($B121),-1,IFERROR(IF($B121&gt;0.9,2,IF($B121&lt;0.3,1,0)),-1))</f>
        <v>-1</v>
      </c>
      <c r="D121" s="79"/>
      <c r="E121" s="78"/>
      <c r="F121" s="26"/>
      <c r="G121" s="27"/>
      <c r="H121" s="14"/>
      <c r="I121" s="15"/>
      <c r="J121" s="16"/>
      <c r="K121" s="11"/>
      <c r="L121" s="22"/>
      <c r="M121" s="22"/>
      <c r="N121" s="18"/>
      <c r="O121" s="17"/>
      <c r="P121" s="18"/>
      <c r="Q121" s="18"/>
      <c r="R121" s="18"/>
      <c r="S121" s="6"/>
      <c r="T121" s="19"/>
      <c r="U121" s="20"/>
    </row>
    <row r="122" spans="1:21" ht="14.4" customHeight="1">
      <c r="A122" s="2">
        <f>ROW()-4</f>
        <v>118</v>
      </c>
      <c r="B122" s="39" t="e">
        <f>R122/L122</f>
        <v>#DIV/0!</v>
      </c>
      <c r="C122" s="2">
        <f>IF(ISBLANK($B122),-1,IFERROR(IF($B122&gt;0.9,2,IF($B122&lt;0.3,1,0)),-1))</f>
        <v>-1</v>
      </c>
      <c r="D122" s="79"/>
      <c r="E122" s="78"/>
      <c r="F122" s="26"/>
      <c r="G122" s="31"/>
      <c r="H122" s="14"/>
      <c r="I122" s="15"/>
      <c r="J122" s="16"/>
      <c r="K122" s="11"/>
      <c r="L122" s="22"/>
      <c r="M122" s="22"/>
      <c r="N122" s="18"/>
      <c r="O122" s="17"/>
      <c r="P122" s="18"/>
      <c r="Q122" s="18"/>
      <c r="R122" s="18"/>
      <c r="S122" s="6"/>
      <c r="T122" s="19"/>
      <c r="U122" s="20"/>
    </row>
    <row r="123" spans="1:21" ht="14.4" customHeight="1">
      <c r="A123" s="2">
        <f>ROW()-4</f>
        <v>119</v>
      </c>
      <c r="B123" s="39" t="e">
        <f>R123/L123</f>
        <v>#DIV/0!</v>
      </c>
      <c r="C123" s="2">
        <f>IF(ISBLANK($B123),-1,IFERROR(IF($B123&gt;0.9,2,IF($B123&lt;0.3,1,0)),-1))</f>
        <v>-1</v>
      </c>
      <c r="D123" s="79"/>
      <c r="E123" s="78"/>
      <c r="F123" s="26"/>
      <c r="G123" s="31"/>
      <c r="H123" s="14"/>
      <c r="I123" s="15"/>
      <c r="J123" s="16"/>
      <c r="K123" s="11"/>
      <c r="L123" s="22"/>
      <c r="M123" s="22"/>
      <c r="N123" s="18"/>
      <c r="O123" s="17"/>
      <c r="P123" s="18"/>
      <c r="Q123" s="18"/>
      <c r="R123" s="18"/>
      <c r="S123" s="6"/>
      <c r="T123" s="19"/>
      <c r="U123" s="20"/>
    </row>
    <row r="124" spans="1:21" ht="14.4" customHeight="1">
      <c r="A124" s="2">
        <f>ROW()-4</f>
        <v>120</v>
      </c>
      <c r="B124" s="39" t="e">
        <f>R124/L124</f>
        <v>#DIV/0!</v>
      </c>
      <c r="C124" s="2">
        <f>IF(ISBLANK($B124),-1,IFERROR(IF($B124&gt;0.9,2,IF($B124&lt;0.3,1,0)),-1))</f>
        <v>-1</v>
      </c>
      <c r="D124" s="79"/>
      <c r="E124" s="78"/>
      <c r="F124" s="26"/>
      <c r="G124" s="31"/>
      <c r="H124" s="14"/>
      <c r="I124" s="15"/>
      <c r="J124" s="16"/>
      <c r="K124" s="11"/>
      <c r="L124" s="22"/>
      <c r="M124" s="22"/>
      <c r="N124" s="18"/>
      <c r="O124" s="17"/>
      <c r="P124" s="18"/>
      <c r="Q124" s="18"/>
      <c r="R124" s="18"/>
      <c r="S124" s="6"/>
      <c r="T124" s="19"/>
      <c r="U124" s="20"/>
    </row>
    <row r="125" spans="1:21" ht="14.4" customHeight="1">
      <c r="A125" s="2">
        <f>ROW()-4</f>
        <v>121</v>
      </c>
      <c r="B125" s="39" t="e">
        <f>R125/L125</f>
        <v>#DIV/0!</v>
      </c>
      <c r="C125" s="2">
        <f>IF(ISBLANK($B125),-1,IFERROR(IF($B125&gt;0.9,2,IF($B125&lt;0.3,1,0)),-1))</f>
        <v>-1</v>
      </c>
      <c r="D125" s="79"/>
      <c r="E125" s="78"/>
      <c r="F125" s="26"/>
      <c r="G125" s="27"/>
      <c r="H125" s="14"/>
      <c r="I125" s="15"/>
      <c r="J125" s="16"/>
      <c r="K125" s="11"/>
      <c r="L125" s="22"/>
      <c r="M125" s="22"/>
      <c r="N125" s="18"/>
      <c r="O125" s="17"/>
      <c r="P125" s="18"/>
      <c r="Q125" s="18"/>
      <c r="R125" s="18"/>
      <c r="S125" s="6"/>
      <c r="T125" s="19"/>
      <c r="U125" s="20"/>
    </row>
    <row r="126" spans="1:21" ht="14.4" customHeight="1">
      <c r="A126" s="2">
        <f>ROW()-4</f>
        <v>122</v>
      </c>
      <c r="B126" s="39" t="e">
        <f>R126/L126</f>
        <v>#DIV/0!</v>
      </c>
      <c r="C126" s="2">
        <f>IF(ISBLANK($B126),-1,IFERROR(IF($B126&gt;0.9,2,IF($B126&lt;0.3,1,0)),-1))</f>
        <v>-1</v>
      </c>
      <c r="D126" s="79"/>
      <c r="E126" s="78"/>
      <c r="F126" s="26"/>
      <c r="G126" s="27"/>
      <c r="H126" s="14"/>
      <c r="I126" s="15"/>
      <c r="J126" s="16"/>
      <c r="K126" s="11"/>
      <c r="L126" s="22"/>
      <c r="M126" s="22"/>
      <c r="N126" s="18"/>
      <c r="O126" s="17"/>
      <c r="P126" s="18"/>
      <c r="Q126" s="18"/>
      <c r="R126" s="18"/>
      <c r="S126" s="6"/>
      <c r="T126" s="19"/>
      <c r="U126" s="20"/>
    </row>
    <row r="127" spans="1:21" ht="14.4" customHeight="1">
      <c r="A127" s="2">
        <f>ROW()-4</f>
        <v>123</v>
      </c>
      <c r="B127" s="39" t="e">
        <f>R127/L127</f>
        <v>#DIV/0!</v>
      </c>
      <c r="C127" s="2">
        <f>IF(ISBLANK($B127),-1,IFERROR(IF($B127&gt;0.9,2,IF($B127&lt;0.3,1,0)),-1))</f>
        <v>-1</v>
      </c>
      <c r="D127" s="79"/>
      <c r="E127" s="78"/>
      <c r="F127" s="26"/>
      <c r="G127" s="27"/>
      <c r="H127" s="14"/>
      <c r="I127" s="15"/>
      <c r="J127" s="16"/>
      <c r="K127" s="11"/>
      <c r="L127" s="22"/>
      <c r="M127" s="22"/>
      <c r="N127" s="18"/>
      <c r="O127" s="17"/>
      <c r="P127" s="18"/>
      <c r="Q127" s="18"/>
      <c r="R127" s="18"/>
      <c r="S127" s="6"/>
      <c r="T127" s="19"/>
      <c r="U127" s="20"/>
    </row>
    <row r="128" spans="1:21" ht="14.4" customHeight="1">
      <c r="A128" s="2">
        <f>ROW()-4</f>
        <v>124</v>
      </c>
      <c r="B128" s="39" t="e">
        <f>R128/L128</f>
        <v>#DIV/0!</v>
      </c>
      <c r="C128" s="2">
        <f>IF(ISBLANK($B128),-1,IFERROR(IF($B128&gt;0.9,2,IF($B128&lt;0.3,1,0)),-1))</f>
        <v>-1</v>
      </c>
      <c r="D128" s="79"/>
      <c r="E128" s="78"/>
      <c r="F128" s="26"/>
      <c r="G128" s="27"/>
      <c r="H128" s="14"/>
      <c r="I128" s="15"/>
      <c r="J128" s="16"/>
      <c r="K128" s="11"/>
      <c r="L128" s="22"/>
      <c r="M128" s="22"/>
      <c r="N128" s="18"/>
      <c r="O128" s="17"/>
      <c r="P128" s="18"/>
      <c r="Q128" s="18"/>
      <c r="R128" s="18"/>
      <c r="S128" s="6"/>
      <c r="T128" s="19"/>
      <c r="U128" s="20"/>
    </row>
    <row r="129" spans="1:21" ht="14.4" customHeight="1">
      <c r="A129" s="2">
        <f>ROW()-4</f>
        <v>125</v>
      </c>
      <c r="B129" s="39" t="e">
        <f>R129/L129</f>
        <v>#DIV/0!</v>
      </c>
      <c r="C129" s="2">
        <f>IF(ISBLANK($B129),-1,IFERROR(IF($B129&gt;0.9,2,IF($B129&lt;0.3,1,0)),-1))</f>
        <v>-1</v>
      </c>
      <c r="D129" s="79"/>
      <c r="E129" s="78"/>
      <c r="F129" s="26"/>
      <c r="G129" s="27"/>
      <c r="H129" s="14"/>
      <c r="I129" s="15"/>
      <c r="J129" s="16"/>
      <c r="K129" s="11"/>
      <c r="L129" s="22"/>
      <c r="M129" s="22"/>
      <c r="N129" s="18"/>
      <c r="O129" s="17"/>
      <c r="P129" s="18"/>
      <c r="Q129" s="18"/>
      <c r="R129" s="18"/>
      <c r="S129" s="6"/>
      <c r="T129" s="19"/>
      <c r="U129" s="20"/>
    </row>
    <row r="130" spans="1:21" ht="14.4" customHeight="1">
      <c r="A130" s="2">
        <f>ROW()-4</f>
        <v>126</v>
      </c>
      <c r="B130" s="39" t="e">
        <f>R130/L130</f>
        <v>#DIV/0!</v>
      </c>
      <c r="C130" s="2">
        <f>IF(ISBLANK($B130),-1,IFERROR(IF($B130&gt;0.9,2,IF($B130&lt;0.3,1,0)),-1))</f>
        <v>-1</v>
      </c>
      <c r="D130" s="79"/>
      <c r="E130" s="78"/>
      <c r="F130" s="26"/>
      <c r="G130" s="27"/>
      <c r="H130" s="14"/>
      <c r="I130" s="15"/>
      <c r="J130" s="16"/>
      <c r="K130" s="11"/>
      <c r="L130" s="22"/>
      <c r="M130" s="22"/>
      <c r="N130" s="18"/>
      <c r="O130" s="17"/>
      <c r="P130" s="18"/>
      <c r="Q130" s="18"/>
      <c r="R130" s="18"/>
      <c r="S130" s="6"/>
      <c r="T130" s="19"/>
      <c r="U130" s="20"/>
    </row>
    <row r="131" spans="1:21" ht="14.4" customHeight="1">
      <c r="A131" s="2">
        <f>ROW()-4</f>
        <v>127</v>
      </c>
      <c r="B131" s="39" t="e">
        <f>R131/L131</f>
        <v>#DIV/0!</v>
      </c>
      <c r="C131" s="2">
        <f>IF(ISBLANK($B131),-1,IFERROR(IF($B131&gt;0.9,2,IF($B131&lt;0.3,1,0)),-1))</f>
        <v>-1</v>
      </c>
      <c r="D131" s="79"/>
      <c r="E131" s="78"/>
      <c r="F131" s="26"/>
      <c r="G131" s="27"/>
      <c r="H131" s="14"/>
      <c r="I131" s="9"/>
      <c r="J131" s="16"/>
      <c r="K131" s="11"/>
      <c r="L131" s="22"/>
      <c r="M131" s="22"/>
      <c r="N131" s="18"/>
      <c r="O131" s="17"/>
      <c r="P131" s="18"/>
      <c r="Q131" s="18"/>
      <c r="R131" s="18"/>
      <c r="S131" s="6"/>
      <c r="T131" s="19"/>
      <c r="U131" s="20"/>
    </row>
    <row r="132" spans="1:21" ht="14.4" customHeight="1">
      <c r="A132" s="2">
        <f>ROW()-4</f>
        <v>128</v>
      </c>
      <c r="B132" s="39" t="e">
        <f>R132/L132</f>
        <v>#DIV/0!</v>
      </c>
      <c r="C132" s="2">
        <f>IF(ISBLANK($B132),-1,IFERROR(IF($B132&gt;0.9,2,IF($B132&lt;0.3,1,0)),-1))</f>
        <v>-1</v>
      </c>
      <c r="D132" s="79"/>
      <c r="E132" s="78"/>
      <c r="F132" s="26"/>
      <c r="G132" s="27"/>
      <c r="H132" s="14"/>
      <c r="I132" s="9"/>
      <c r="J132" s="16"/>
      <c r="K132" s="11"/>
      <c r="L132" s="22"/>
      <c r="M132" s="22"/>
      <c r="N132" s="18"/>
      <c r="O132" s="17"/>
      <c r="P132" s="18"/>
      <c r="Q132" s="18"/>
      <c r="R132" s="18"/>
      <c r="S132" s="6"/>
      <c r="T132" s="19"/>
      <c r="U132" s="20"/>
    </row>
    <row r="133" spans="1:21" ht="14.4" customHeight="1">
      <c r="A133" s="2">
        <f>ROW()-4</f>
        <v>129</v>
      </c>
      <c r="B133" s="39" t="e">
        <f>R133/L133</f>
        <v>#DIV/0!</v>
      </c>
      <c r="C133" s="2">
        <f>IF(ISBLANK($B133),-1,IFERROR(IF($B133&gt;0.9,2,IF($B133&lt;0.3,1,0)),-1))</f>
        <v>-1</v>
      </c>
      <c r="D133" s="79"/>
      <c r="E133" s="78"/>
      <c r="F133" s="26"/>
      <c r="G133" s="27"/>
      <c r="H133" s="14"/>
      <c r="I133" s="9"/>
      <c r="J133" s="16"/>
      <c r="K133" s="11"/>
      <c r="L133" s="22"/>
      <c r="M133" s="22"/>
      <c r="N133" s="18"/>
      <c r="O133" s="17"/>
      <c r="P133" s="18"/>
      <c r="Q133" s="18"/>
      <c r="R133" s="18"/>
      <c r="S133" s="6"/>
      <c r="T133" s="19"/>
      <c r="U133" s="20"/>
    </row>
    <row r="134" spans="1:21" ht="14.4" customHeight="1">
      <c r="A134" s="2">
        <f>ROW()-4</f>
        <v>130</v>
      </c>
      <c r="B134" s="39" t="e">
        <f>R134/L134</f>
        <v>#DIV/0!</v>
      </c>
      <c r="C134" s="2">
        <f>IF(ISBLANK($B134),-1,IFERROR(IF($B134&gt;0.9,2,IF($B134&lt;0.3,1,0)),-1))</f>
        <v>-1</v>
      </c>
      <c r="D134" s="79"/>
      <c r="E134" s="78"/>
      <c r="F134" s="26"/>
      <c r="G134" s="27"/>
      <c r="H134" s="14"/>
      <c r="I134" s="9"/>
      <c r="J134" s="16"/>
      <c r="K134" s="11"/>
      <c r="L134" s="22"/>
      <c r="M134" s="22"/>
      <c r="N134" s="18"/>
      <c r="O134" s="17"/>
      <c r="P134" s="18"/>
      <c r="Q134" s="18"/>
      <c r="R134" s="18"/>
      <c r="S134" s="6"/>
      <c r="T134" s="19"/>
      <c r="U134" s="20"/>
    </row>
    <row r="135" spans="1:21" ht="14.4" customHeight="1">
      <c r="A135" s="2">
        <f>ROW()-4</f>
        <v>131</v>
      </c>
      <c r="B135" s="39" t="e">
        <f>R135/L135</f>
        <v>#DIV/0!</v>
      </c>
      <c r="C135" s="2">
        <f>IF(ISBLANK($B135),-1,IFERROR(IF($B135&gt;0.9,2,IF($B135&lt;0.3,1,0)),-1))</f>
        <v>-1</v>
      </c>
      <c r="D135" s="79"/>
      <c r="E135" s="78"/>
      <c r="F135" s="26"/>
      <c r="G135" s="27"/>
      <c r="H135" s="14"/>
      <c r="I135" s="9"/>
      <c r="J135" s="16"/>
      <c r="K135" s="11"/>
      <c r="L135" s="22"/>
      <c r="M135" s="22"/>
      <c r="N135" s="18"/>
      <c r="O135" s="17"/>
      <c r="P135" s="18"/>
      <c r="Q135" s="18"/>
      <c r="R135" s="18"/>
      <c r="S135" s="6"/>
      <c r="T135" s="19"/>
      <c r="U135" s="20"/>
    </row>
    <row r="136" spans="1:21" ht="14.4" customHeight="1">
      <c r="A136" s="2">
        <f>ROW()-4</f>
        <v>132</v>
      </c>
      <c r="B136" s="39" t="e">
        <f>R136/L136</f>
        <v>#DIV/0!</v>
      </c>
      <c r="C136" s="2">
        <f>IF(ISBLANK($B136),-1,IFERROR(IF($B136&gt;0.9,2,IF($B136&lt;0.3,1,0)),-1))</f>
        <v>-1</v>
      </c>
      <c r="D136" s="79"/>
      <c r="E136" s="78"/>
      <c r="F136" s="26"/>
      <c r="G136" s="27"/>
      <c r="H136" s="14"/>
      <c r="I136" s="9"/>
      <c r="J136" s="16"/>
      <c r="K136" s="11"/>
      <c r="L136" s="22"/>
      <c r="M136" s="22"/>
      <c r="N136" s="18"/>
      <c r="O136" s="17"/>
      <c r="P136" s="18"/>
      <c r="Q136" s="18"/>
      <c r="R136" s="18"/>
      <c r="S136" s="6"/>
      <c r="T136" s="19"/>
      <c r="U136" s="20"/>
    </row>
    <row r="137" spans="1:21" ht="14.4" customHeight="1">
      <c r="A137" s="2">
        <f>ROW()-4</f>
        <v>133</v>
      </c>
      <c r="B137" s="39" t="e">
        <f>R137/L137</f>
        <v>#DIV/0!</v>
      </c>
      <c r="C137" s="2">
        <f>IF(ISBLANK($B137),-1,IFERROR(IF($B137&gt;0.9,2,IF($B137&lt;0.3,1,0)),-1))</f>
        <v>-1</v>
      </c>
      <c r="D137" s="79"/>
      <c r="E137" s="78"/>
      <c r="F137" s="26"/>
      <c r="G137" s="27"/>
      <c r="H137" s="14"/>
      <c r="I137" s="9"/>
      <c r="J137" s="16"/>
      <c r="K137" s="11"/>
      <c r="L137" s="22"/>
      <c r="M137" s="22"/>
      <c r="N137" s="18"/>
      <c r="O137" s="17"/>
      <c r="P137" s="18"/>
      <c r="Q137" s="18"/>
      <c r="R137" s="18"/>
      <c r="S137" s="6"/>
      <c r="T137" s="19"/>
      <c r="U137" s="20"/>
    </row>
    <row r="138" spans="1:21" ht="14.4" customHeight="1">
      <c r="A138" s="2">
        <f>ROW()-4</f>
        <v>134</v>
      </c>
      <c r="B138" s="39" t="e">
        <f>R138/L138</f>
        <v>#DIV/0!</v>
      </c>
      <c r="C138" s="2">
        <f>IF(ISBLANK($B138),-1,IFERROR(IF($B138&gt;0.9,2,IF($B138&lt;0.3,1,0)),-1))</f>
        <v>-1</v>
      </c>
      <c r="D138" s="79"/>
      <c r="E138" s="78"/>
      <c r="F138" s="26"/>
      <c r="G138" s="27"/>
      <c r="H138" s="14"/>
      <c r="I138" s="9"/>
      <c r="J138" s="16"/>
      <c r="K138" s="11"/>
      <c r="L138" s="22"/>
      <c r="M138" s="22"/>
      <c r="N138" s="18"/>
      <c r="O138" s="17"/>
      <c r="P138" s="18"/>
      <c r="Q138" s="18"/>
      <c r="R138" s="18"/>
      <c r="S138" s="6"/>
      <c r="T138" s="19"/>
      <c r="U138" s="20"/>
    </row>
    <row r="139" spans="1:21" ht="14.4" customHeight="1">
      <c r="A139" s="2">
        <f>ROW()-4</f>
        <v>135</v>
      </c>
      <c r="B139" s="39" t="e">
        <f>R139/L139</f>
        <v>#DIV/0!</v>
      </c>
      <c r="C139" s="2">
        <f>IF(ISBLANK($B139),-1,IFERROR(IF($B139&gt;0.9,2,IF($B139&lt;0.3,1,0)),-1))</f>
        <v>-1</v>
      </c>
      <c r="D139" s="79"/>
      <c r="E139" s="78"/>
      <c r="F139" s="26"/>
      <c r="G139" s="27"/>
      <c r="H139" s="14"/>
      <c r="I139" s="9"/>
      <c r="J139" s="16"/>
      <c r="K139" s="11"/>
      <c r="L139" s="22"/>
      <c r="M139" s="22"/>
      <c r="N139" s="18"/>
      <c r="O139" s="17"/>
      <c r="P139" s="18"/>
      <c r="Q139" s="18"/>
      <c r="R139" s="18"/>
      <c r="S139" s="6"/>
      <c r="T139" s="19"/>
      <c r="U139" s="20"/>
    </row>
    <row r="140" spans="1:21" ht="14.4" customHeight="1">
      <c r="A140" s="2">
        <f>ROW()-4</f>
        <v>136</v>
      </c>
      <c r="B140" s="39" t="e">
        <f>R140/L140</f>
        <v>#DIV/0!</v>
      </c>
      <c r="C140" s="2">
        <f>IF(ISBLANK($B140),-1,IFERROR(IF($B140&gt;0.9,2,IF($B140&lt;0.3,1,0)),-1))</f>
        <v>-1</v>
      </c>
      <c r="D140" s="79"/>
      <c r="E140" s="78"/>
      <c r="F140" s="26"/>
      <c r="G140" s="27"/>
      <c r="H140" s="14"/>
      <c r="I140" s="9"/>
      <c r="J140" s="16"/>
      <c r="K140" s="11"/>
      <c r="L140" s="22"/>
      <c r="M140" s="22"/>
      <c r="N140" s="18"/>
      <c r="O140" s="17"/>
      <c r="P140" s="18"/>
      <c r="Q140" s="18"/>
      <c r="R140" s="18"/>
      <c r="S140" s="6"/>
      <c r="T140" s="19"/>
      <c r="U140" s="20"/>
    </row>
    <row r="141" spans="1:21" ht="14.4" customHeight="1">
      <c r="A141" s="2">
        <f>ROW()-4</f>
        <v>137</v>
      </c>
      <c r="B141" s="39" t="e">
        <f>R141/L141</f>
        <v>#DIV/0!</v>
      </c>
      <c r="C141" s="2">
        <f>IF(ISBLANK($B141),-1,IFERROR(IF($B141&gt;0.9,2,IF($B141&lt;0.3,1,0)),-1))</f>
        <v>-1</v>
      </c>
      <c r="D141" s="79"/>
      <c r="E141" s="78"/>
      <c r="F141" s="26"/>
      <c r="G141" s="27"/>
      <c r="H141" s="14"/>
      <c r="I141" s="9"/>
      <c r="J141" s="16"/>
      <c r="K141" s="11"/>
      <c r="L141" s="22"/>
      <c r="M141" s="22"/>
      <c r="N141" s="18"/>
      <c r="O141" s="17"/>
      <c r="P141" s="18"/>
      <c r="Q141" s="18"/>
      <c r="R141" s="18"/>
      <c r="S141" s="6"/>
      <c r="T141" s="19"/>
      <c r="U141" s="20"/>
    </row>
    <row r="142" spans="1:21" ht="14.4" customHeight="1">
      <c r="A142" s="2">
        <f>ROW()-4</f>
        <v>138</v>
      </c>
      <c r="B142" s="39" t="e">
        <f>R142/L142</f>
        <v>#DIV/0!</v>
      </c>
      <c r="C142" s="2">
        <f>IF(ISBLANK($B142),-1,IFERROR(IF($B142&gt;0.9,2,IF($B142&lt;0.3,1,0)),-1))</f>
        <v>-1</v>
      </c>
      <c r="D142" s="79"/>
      <c r="E142" s="78"/>
      <c r="F142" s="26"/>
      <c r="G142" s="27"/>
      <c r="H142" s="14"/>
      <c r="I142" s="9"/>
      <c r="J142" s="16"/>
      <c r="K142" s="11"/>
      <c r="L142" s="22"/>
      <c r="M142" s="22"/>
      <c r="N142" s="18"/>
      <c r="O142" s="17"/>
      <c r="P142" s="18"/>
      <c r="Q142" s="18"/>
      <c r="R142" s="18"/>
      <c r="S142" s="6"/>
      <c r="T142" s="19"/>
      <c r="U142" s="20"/>
    </row>
    <row r="143" spans="1:21" ht="14.4" customHeight="1">
      <c r="A143" s="2">
        <f>ROW()-4</f>
        <v>139</v>
      </c>
      <c r="B143" s="39" t="e">
        <f>R143/L143</f>
        <v>#DIV/0!</v>
      </c>
      <c r="C143" s="2">
        <f>IF(ISBLANK($B143),-1,IFERROR(IF($B143&gt;0.9,2,IF($B143&lt;0.3,1,0)),-1))</f>
        <v>-1</v>
      </c>
      <c r="D143" s="79"/>
      <c r="E143" s="78"/>
      <c r="F143" s="26"/>
      <c r="G143" s="27"/>
      <c r="H143" s="14"/>
      <c r="I143" s="9"/>
      <c r="J143" s="16"/>
      <c r="K143" s="11"/>
      <c r="L143" s="22"/>
      <c r="M143" s="22"/>
      <c r="N143" s="18"/>
      <c r="O143" s="17"/>
      <c r="P143" s="18"/>
      <c r="Q143" s="18"/>
      <c r="R143" s="18"/>
      <c r="S143" s="6"/>
      <c r="T143" s="19"/>
      <c r="U143" s="20"/>
    </row>
    <row r="144" spans="1:21" ht="14.4" customHeight="1">
      <c r="A144" s="2">
        <f>ROW()-4</f>
        <v>140</v>
      </c>
      <c r="B144" s="39" t="e">
        <f>R144/L144</f>
        <v>#DIV/0!</v>
      </c>
      <c r="C144" s="2">
        <f>IF(ISBLANK($B144),-1,IFERROR(IF($B144&gt;0.9,2,IF($B144&lt;0.3,1,0)),-1))</f>
        <v>-1</v>
      </c>
      <c r="D144" s="79"/>
      <c r="E144" s="78"/>
      <c r="F144" s="26"/>
      <c r="G144" s="27"/>
      <c r="H144" s="14"/>
      <c r="I144" s="9"/>
      <c r="J144" s="16"/>
      <c r="K144" s="11"/>
      <c r="L144" s="22"/>
      <c r="M144" s="22"/>
      <c r="N144" s="18"/>
      <c r="O144" s="17"/>
      <c r="P144" s="18"/>
      <c r="Q144" s="18"/>
      <c r="R144" s="18"/>
      <c r="S144" s="6"/>
      <c r="T144" s="19"/>
      <c r="U144" s="20"/>
    </row>
    <row r="145" spans="1:21" ht="14.4" customHeight="1">
      <c r="A145" s="2">
        <f>ROW()-4</f>
        <v>141</v>
      </c>
      <c r="B145" s="39" t="e">
        <f>R145/L145</f>
        <v>#DIV/0!</v>
      </c>
      <c r="C145" s="2">
        <f>IF(ISBLANK($B145),-1,IFERROR(IF($B145&gt;0.9,2,IF($B145&lt;0.3,1,0)),-1))</f>
        <v>-1</v>
      </c>
      <c r="D145" s="79"/>
      <c r="E145" s="78"/>
      <c r="F145" s="26"/>
      <c r="G145" s="27"/>
      <c r="H145" s="14"/>
      <c r="I145" s="9"/>
      <c r="J145" s="16"/>
      <c r="K145" s="11"/>
      <c r="L145" s="22"/>
      <c r="M145" s="22"/>
      <c r="N145" s="18"/>
      <c r="O145" s="17"/>
      <c r="P145" s="18"/>
      <c r="Q145" s="18"/>
      <c r="R145" s="18"/>
      <c r="S145" s="6"/>
      <c r="T145" s="19"/>
      <c r="U145" s="20"/>
    </row>
    <row r="146" spans="1:21" ht="14.4" customHeight="1">
      <c r="A146" s="2">
        <f>ROW()-4</f>
        <v>142</v>
      </c>
      <c r="B146" s="39" t="e">
        <f>R146/L146</f>
        <v>#DIV/0!</v>
      </c>
      <c r="C146" s="2">
        <f>IF(ISBLANK($B146),-1,IFERROR(IF($B146&gt;0.9,2,IF($B146&lt;0.3,1,0)),-1))</f>
        <v>-1</v>
      </c>
      <c r="D146" s="79"/>
      <c r="E146" s="78"/>
      <c r="F146" s="26"/>
      <c r="G146" s="27"/>
      <c r="H146" s="14"/>
      <c r="I146" s="9"/>
      <c r="J146" s="16"/>
      <c r="K146" s="11"/>
      <c r="L146" s="22"/>
      <c r="M146" s="22"/>
      <c r="N146" s="18"/>
      <c r="O146" s="17"/>
      <c r="P146" s="18"/>
      <c r="Q146" s="18"/>
      <c r="R146" s="18"/>
      <c r="S146" s="6"/>
      <c r="T146" s="19"/>
      <c r="U146" s="20"/>
    </row>
    <row r="147" spans="1:21" ht="14.4" customHeight="1">
      <c r="A147" s="2">
        <f>ROW()-4</f>
        <v>143</v>
      </c>
      <c r="B147" s="39" t="e">
        <f>R147/L147</f>
        <v>#DIV/0!</v>
      </c>
      <c r="C147" s="2">
        <f>IF(ISBLANK($B147),-1,IFERROR(IF($B147&gt;0.9,2,IF($B147&lt;0.3,1,0)),-1))</f>
        <v>-1</v>
      </c>
      <c r="D147" s="79"/>
      <c r="E147" s="78"/>
      <c r="F147" s="26"/>
      <c r="G147" s="27"/>
      <c r="H147" s="14"/>
      <c r="I147" s="9"/>
      <c r="J147" s="16"/>
      <c r="K147" s="11"/>
      <c r="L147" s="22"/>
      <c r="M147" s="22"/>
      <c r="N147" s="18"/>
      <c r="O147" s="17"/>
      <c r="P147" s="18"/>
      <c r="Q147" s="18"/>
      <c r="R147" s="18"/>
      <c r="S147" s="6"/>
      <c r="T147" s="19"/>
      <c r="U147" s="20"/>
    </row>
    <row r="148" spans="1:21" ht="14.4" customHeight="1">
      <c r="A148" s="2">
        <f>ROW()-4</f>
        <v>144</v>
      </c>
      <c r="B148" s="39" t="e">
        <f>R148/L148</f>
        <v>#DIV/0!</v>
      </c>
      <c r="C148" s="2">
        <f>IF(ISBLANK($B148),-1,IFERROR(IF($B148&gt;0.9,2,IF($B148&lt;0.3,1,0)),-1))</f>
        <v>-1</v>
      </c>
      <c r="D148" s="79"/>
      <c r="E148" s="78"/>
      <c r="F148" s="26"/>
      <c r="G148" s="27"/>
      <c r="H148" s="14"/>
      <c r="I148" s="9"/>
      <c r="J148" s="16"/>
      <c r="K148" s="11"/>
      <c r="L148" s="22"/>
      <c r="M148" s="22"/>
      <c r="N148" s="18"/>
      <c r="O148" s="17"/>
      <c r="P148" s="18"/>
      <c r="Q148" s="18"/>
      <c r="R148" s="18"/>
      <c r="S148" s="6"/>
      <c r="T148" s="19"/>
      <c r="U148" s="20"/>
    </row>
    <row r="149" spans="1:21" ht="14.4" customHeight="1">
      <c r="A149" s="2">
        <f>ROW()-4</f>
        <v>145</v>
      </c>
      <c r="B149" s="39" t="e">
        <f>R149/L149</f>
        <v>#DIV/0!</v>
      </c>
      <c r="C149" s="2">
        <f>IF(ISBLANK($B149),-1,IFERROR(IF($B149&gt;0.9,2,IF($B149&lt;0.3,1,0)),-1))</f>
        <v>-1</v>
      </c>
      <c r="D149" s="79"/>
      <c r="E149" s="78"/>
      <c r="F149" s="26"/>
      <c r="G149" s="27"/>
      <c r="H149" s="14"/>
      <c r="I149" s="9"/>
      <c r="J149" s="16"/>
      <c r="K149" s="11"/>
      <c r="L149" s="22"/>
      <c r="M149" s="22"/>
      <c r="N149" s="18"/>
      <c r="O149" s="17"/>
      <c r="P149" s="18"/>
      <c r="Q149" s="18"/>
      <c r="R149" s="18"/>
      <c r="S149" s="6"/>
      <c r="T149" s="19"/>
      <c r="U149" s="20"/>
    </row>
    <row r="150" spans="1:21" ht="14.4" customHeight="1">
      <c r="A150" s="2">
        <f>ROW()-4</f>
        <v>146</v>
      </c>
      <c r="B150" s="39" t="e">
        <f>R150/L150</f>
        <v>#DIV/0!</v>
      </c>
      <c r="C150" s="2">
        <f>IF(ISBLANK($B150),-1,IFERROR(IF($B150&gt;0.9,2,IF($B150&lt;0.3,1,0)),-1))</f>
        <v>-1</v>
      </c>
      <c r="D150" s="79"/>
      <c r="E150" s="78"/>
      <c r="F150" s="26"/>
      <c r="G150" s="27"/>
      <c r="H150" s="14"/>
      <c r="I150" s="9"/>
      <c r="J150" s="16"/>
      <c r="K150" s="11"/>
      <c r="L150" s="22"/>
      <c r="M150" s="22"/>
      <c r="N150" s="18"/>
      <c r="O150" s="17"/>
      <c r="P150" s="18"/>
      <c r="Q150" s="18"/>
      <c r="R150" s="18"/>
      <c r="S150" s="6"/>
      <c r="T150" s="19"/>
      <c r="U150" s="20"/>
    </row>
    <row r="151" spans="1:21" ht="14.4" customHeight="1">
      <c r="A151" s="2">
        <f>ROW()-4</f>
        <v>147</v>
      </c>
      <c r="B151" s="39" t="e">
        <f>R151/L151</f>
        <v>#DIV/0!</v>
      </c>
      <c r="C151" s="2">
        <f>IF(ISBLANK($B151),-1,IFERROR(IF($B151&gt;0.9,2,IF($B151&lt;0.3,1,0)),-1))</f>
        <v>-1</v>
      </c>
      <c r="D151" s="79"/>
      <c r="E151" s="78"/>
      <c r="F151" s="26"/>
      <c r="G151" s="27"/>
      <c r="H151" s="14"/>
      <c r="I151" s="9"/>
      <c r="J151" s="16"/>
      <c r="K151" s="11"/>
      <c r="L151" s="22"/>
      <c r="M151" s="22"/>
      <c r="N151" s="18"/>
      <c r="O151" s="17"/>
      <c r="P151" s="18"/>
      <c r="Q151" s="18"/>
      <c r="R151" s="18"/>
      <c r="S151" s="6"/>
      <c r="T151" s="19"/>
      <c r="U151" s="20"/>
    </row>
    <row r="152" spans="1:21" ht="14.4" customHeight="1">
      <c r="A152" s="2">
        <f>ROW()-4</f>
        <v>148</v>
      </c>
      <c r="B152" s="39" t="e">
        <f>R152/L152</f>
        <v>#DIV/0!</v>
      </c>
      <c r="C152" s="2">
        <f>IF(ISBLANK($B152),-1,IFERROR(IF($B152&gt;0.9,2,IF($B152&lt;0.3,1,0)),-1))</f>
        <v>-1</v>
      </c>
      <c r="D152" s="79"/>
      <c r="E152" s="78"/>
      <c r="F152" s="26"/>
      <c r="G152" s="27"/>
      <c r="H152" s="14"/>
      <c r="I152" s="9"/>
      <c r="J152" s="16"/>
      <c r="K152" s="11"/>
      <c r="L152" s="22"/>
      <c r="M152" s="22"/>
      <c r="N152" s="18"/>
      <c r="O152" s="17"/>
      <c r="P152" s="18"/>
      <c r="Q152" s="18"/>
      <c r="R152" s="18"/>
      <c r="S152" s="6"/>
      <c r="T152" s="19"/>
      <c r="U152" s="20"/>
    </row>
    <row r="153" spans="1:21" ht="14.4" customHeight="1">
      <c r="A153" s="2">
        <f>ROW()-4</f>
        <v>149</v>
      </c>
      <c r="B153" s="39" t="e">
        <f>R153/L153</f>
        <v>#DIV/0!</v>
      </c>
      <c r="C153" s="2">
        <f>IF(ISBLANK($B153),-1,IFERROR(IF($B153&gt;0.9,2,IF($B153&lt;0.3,1,0)),-1))</f>
        <v>-1</v>
      </c>
      <c r="D153" s="79"/>
      <c r="E153" s="78"/>
      <c r="F153" s="26"/>
      <c r="G153" s="27"/>
      <c r="H153" s="14"/>
      <c r="I153" s="9"/>
      <c r="J153" s="16"/>
      <c r="K153" s="11"/>
      <c r="L153" s="22"/>
      <c r="M153" s="22"/>
      <c r="N153" s="18"/>
      <c r="O153" s="17"/>
      <c r="P153" s="18"/>
      <c r="Q153" s="18"/>
      <c r="R153" s="18"/>
      <c r="S153" s="6"/>
      <c r="T153" s="19"/>
      <c r="U153" s="20"/>
    </row>
    <row r="154" spans="1:21" ht="14.4" customHeight="1">
      <c r="A154" s="2">
        <f>ROW()-4</f>
        <v>150</v>
      </c>
      <c r="B154" s="39" t="e">
        <f>R154/L154</f>
        <v>#DIV/0!</v>
      </c>
      <c r="C154" s="2">
        <f>IF(ISBLANK($B154),-1,IFERROR(IF($B154&gt;0.9,2,IF($B154&lt;0.3,1,0)),-1))</f>
        <v>-1</v>
      </c>
      <c r="D154" s="79"/>
      <c r="E154" s="78"/>
      <c r="F154" s="26"/>
      <c r="G154" s="27"/>
      <c r="H154" s="14"/>
      <c r="I154" s="9"/>
      <c r="J154" s="16"/>
      <c r="K154" s="11"/>
      <c r="L154" s="22"/>
      <c r="M154" s="22"/>
      <c r="N154" s="18"/>
      <c r="O154" s="17"/>
      <c r="P154" s="18"/>
      <c r="Q154" s="18"/>
      <c r="R154" s="18"/>
      <c r="S154" s="6"/>
      <c r="T154" s="19"/>
      <c r="U154" s="20"/>
    </row>
    <row r="155" spans="1:21" ht="14.4" customHeight="1">
      <c r="A155" s="2">
        <f>ROW()-4</f>
        <v>151</v>
      </c>
      <c r="B155" s="39" t="e">
        <f>R155/L155</f>
        <v>#DIV/0!</v>
      </c>
      <c r="C155" s="2">
        <f>IF(ISBLANK($B155),-1,IFERROR(IF($B155&gt;0.9,2,IF($B155&lt;0.3,1,0)),-1))</f>
        <v>-1</v>
      </c>
      <c r="D155" s="79"/>
      <c r="E155" s="78"/>
      <c r="F155" s="26"/>
      <c r="G155" s="27"/>
      <c r="H155" s="14"/>
      <c r="I155" s="9"/>
      <c r="J155" s="16"/>
      <c r="K155" s="11"/>
      <c r="L155" s="22"/>
      <c r="M155" s="22"/>
      <c r="N155" s="18"/>
      <c r="O155" s="17"/>
      <c r="P155" s="18"/>
      <c r="Q155" s="18"/>
      <c r="R155" s="18"/>
      <c r="S155" s="6"/>
      <c r="T155" s="19"/>
      <c r="U155" s="20"/>
    </row>
    <row r="156" spans="1:21" ht="14.4" customHeight="1">
      <c r="A156" s="2">
        <f>ROW()-4</f>
        <v>152</v>
      </c>
      <c r="B156" s="39" t="e">
        <f>R156/L156</f>
        <v>#DIV/0!</v>
      </c>
      <c r="C156" s="2">
        <f>IF(ISBLANK($B156),-1,IFERROR(IF($B156&gt;0.9,2,IF($B156&lt;0.3,1,0)),-1))</f>
        <v>-1</v>
      </c>
      <c r="D156" s="79"/>
      <c r="E156" s="78"/>
      <c r="F156" s="26"/>
      <c r="G156" s="27"/>
      <c r="H156" s="14"/>
      <c r="I156" s="9"/>
      <c r="J156" s="16"/>
      <c r="K156" s="11"/>
      <c r="L156" s="22"/>
      <c r="M156" s="22"/>
      <c r="N156" s="18"/>
      <c r="O156" s="17"/>
      <c r="P156" s="18"/>
      <c r="Q156" s="18"/>
      <c r="R156" s="18"/>
      <c r="S156" s="6"/>
      <c r="T156" s="19"/>
      <c r="U156" s="20"/>
    </row>
    <row r="157" spans="1:21" ht="14.4" customHeight="1">
      <c r="A157" s="2">
        <f>ROW()-4</f>
        <v>153</v>
      </c>
      <c r="B157" s="39" t="e">
        <f>R157/L157</f>
        <v>#DIV/0!</v>
      </c>
      <c r="C157" s="2">
        <f>IF(ISBLANK($B157),-1,IFERROR(IF($B157&gt;0.9,2,IF($B157&lt;0.3,1,0)),-1))</f>
        <v>-1</v>
      </c>
      <c r="D157" s="79"/>
      <c r="E157" s="78"/>
      <c r="F157" s="26"/>
      <c r="G157" s="27"/>
      <c r="H157" s="14"/>
      <c r="I157" s="9"/>
      <c r="J157" s="16"/>
      <c r="K157" s="11"/>
      <c r="L157" s="22"/>
      <c r="M157" s="22"/>
      <c r="N157" s="18"/>
      <c r="O157" s="17"/>
      <c r="P157" s="18"/>
      <c r="Q157" s="18"/>
      <c r="R157" s="18"/>
      <c r="S157" s="6"/>
      <c r="T157" s="19"/>
      <c r="U157" s="20"/>
    </row>
    <row r="158" spans="1:21" ht="14.4" customHeight="1">
      <c r="A158" s="2">
        <f>ROW()-4</f>
        <v>154</v>
      </c>
      <c r="B158" s="39" t="e">
        <f>R158/L158</f>
        <v>#DIV/0!</v>
      </c>
      <c r="C158" s="2">
        <f>IF(ISBLANK($B158),-1,IFERROR(IF($B158&gt;0.9,2,IF($B158&lt;0.3,1,0)),-1))</f>
        <v>-1</v>
      </c>
      <c r="D158" s="79"/>
      <c r="E158" s="78"/>
      <c r="F158" s="26"/>
      <c r="G158" s="27"/>
      <c r="H158" s="14"/>
      <c r="I158" s="9"/>
      <c r="J158" s="16"/>
      <c r="K158" s="11"/>
      <c r="L158" s="22"/>
      <c r="M158" s="22"/>
      <c r="N158" s="18"/>
      <c r="O158" s="17"/>
      <c r="P158" s="18"/>
      <c r="Q158" s="18"/>
      <c r="R158" s="18"/>
      <c r="S158" s="6"/>
      <c r="T158" s="19"/>
      <c r="U158" s="20"/>
    </row>
    <row r="159" spans="1:21" ht="14.4" customHeight="1">
      <c r="A159" s="2">
        <f>ROW()-4</f>
        <v>155</v>
      </c>
      <c r="B159" s="39" t="e">
        <f>R159/L159</f>
        <v>#DIV/0!</v>
      </c>
      <c r="C159" s="2">
        <f>IF(ISBLANK($B159),-1,IFERROR(IF($B159&gt;0.9,2,IF($B159&lt;0.3,1,0)),-1))</f>
        <v>-1</v>
      </c>
      <c r="D159" s="79"/>
      <c r="E159" s="78"/>
      <c r="F159" s="26"/>
      <c r="G159" s="27"/>
      <c r="H159" s="14"/>
      <c r="I159" s="9"/>
      <c r="J159" s="16"/>
      <c r="K159" s="11"/>
      <c r="L159" s="22"/>
      <c r="M159" s="22"/>
      <c r="N159" s="18"/>
      <c r="O159" s="17"/>
      <c r="P159" s="18"/>
      <c r="Q159" s="18"/>
      <c r="R159" s="18"/>
      <c r="S159" s="6"/>
      <c r="T159" s="19"/>
      <c r="U159" s="20"/>
    </row>
    <row r="160" spans="1:21" ht="14.4" customHeight="1">
      <c r="A160" s="2">
        <f>ROW()-4</f>
        <v>156</v>
      </c>
      <c r="B160" s="39" t="e">
        <f>R160/L160</f>
        <v>#DIV/0!</v>
      </c>
      <c r="C160" s="2">
        <f>IF(ISBLANK($B160),-1,IFERROR(IF($B160&gt;0.9,2,IF($B160&lt;0.3,1,0)),-1))</f>
        <v>-1</v>
      </c>
      <c r="D160" s="79"/>
      <c r="E160" s="78"/>
      <c r="F160" s="26"/>
      <c r="G160" s="27"/>
      <c r="H160" s="14"/>
      <c r="I160" s="9"/>
      <c r="J160" s="16"/>
      <c r="K160" s="11"/>
      <c r="L160" s="22"/>
      <c r="M160" s="22"/>
      <c r="N160" s="18"/>
      <c r="O160" s="17"/>
      <c r="P160" s="18"/>
      <c r="Q160" s="18"/>
      <c r="R160" s="18"/>
      <c r="S160" s="6"/>
      <c r="T160" s="19"/>
      <c r="U160" s="20"/>
    </row>
    <row r="161" spans="1:21" ht="14.4" customHeight="1">
      <c r="A161" s="2">
        <f>ROW()-4</f>
        <v>157</v>
      </c>
      <c r="B161" s="39" t="e">
        <f>R161/L161</f>
        <v>#DIV/0!</v>
      </c>
      <c r="C161" s="2">
        <f>IF(ISBLANK($B161),-1,IFERROR(IF($B161&gt;0.9,2,IF($B161&lt;0.3,1,0)),-1))</f>
        <v>-1</v>
      </c>
      <c r="D161" s="79"/>
      <c r="E161" s="78"/>
      <c r="F161" s="26"/>
      <c r="G161" s="27"/>
      <c r="H161" s="14"/>
      <c r="I161" s="9"/>
      <c r="J161" s="16"/>
      <c r="K161" s="11"/>
      <c r="L161" s="22"/>
      <c r="M161" s="22"/>
      <c r="N161" s="18"/>
      <c r="O161" s="17"/>
      <c r="P161" s="18"/>
      <c r="Q161" s="18"/>
      <c r="R161" s="18"/>
      <c r="S161" s="6"/>
      <c r="T161" s="19"/>
      <c r="U161" s="20"/>
    </row>
    <row r="162" spans="1:21" ht="14.4" customHeight="1">
      <c r="A162" s="2">
        <f>ROW()-4</f>
        <v>158</v>
      </c>
      <c r="B162" s="39" t="e">
        <f>R162/L162</f>
        <v>#DIV/0!</v>
      </c>
      <c r="C162" s="2">
        <f>IF(ISBLANK($B162),-1,IFERROR(IF($B162&gt;0.9,2,IF($B162&lt;0.3,1,0)),-1))</f>
        <v>-1</v>
      </c>
      <c r="D162" s="79"/>
      <c r="E162" s="78"/>
      <c r="F162" s="26"/>
      <c r="G162" s="27"/>
      <c r="H162" s="14"/>
      <c r="I162" s="9"/>
      <c r="J162" s="16"/>
      <c r="K162" s="11"/>
      <c r="L162" s="22"/>
      <c r="M162" s="22"/>
      <c r="N162" s="18"/>
      <c r="O162" s="17"/>
      <c r="P162" s="18"/>
      <c r="Q162" s="18"/>
      <c r="R162" s="18"/>
      <c r="S162" s="6"/>
      <c r="T162" s="19"/>
      <c r="U162" s="20"/>
    </row>
    <row r="163" spans="1:21" ht="14.4" customHeight="1">
      <c r="A163" s="2">
        <f>ROW()-4</f>
        <v>159</v>
      </c>
      <c r="B163" s="39" t="e">
        <f>R163/L163</f>
        <v>#DIV/0!</v>
      </c>
      <c r="C163" s="2">
        <f>IF(ISBLANK($B163),-1,IFERROR(IF($B163&gt;0.9,2,IF($B163&lt;0.3,1,0)),-1))</f>
        <v>-1</v>
      </c>
      <c r="D163" s="79"/>
      <c r="E163" s="78"/>
      <c r="F163" s="26"/>
      <c r="G163" s="27"/>
      <c r="H163" s="14"/>
      <c r="I163" s="9"/>
      <c r="J163" s="16"/>
      <c r="K163" s="11"/>
      <c r="L163" s="22"/>
      <c r="M163" s="22"/>
      <c r="N163" s="18"/>
      <c r="O163" s="17"/>
      <c r="P163" s="18"/>
      <c r="Q163" s="18"/>
      <c r="R163" s="18"/>
      <c r="S163" s="6"/>
      <c r="T163" s="19"/>
      <c r="U163" s="20"/>
    </row>
    <row r="164" spans="1:21" ht="14.4" customHeight="1">
      <c r="A164" s="2">
        <f>ROW()-4</f>
        <v>160</v>
      </c>
      <c r="B164" s="39" t="e">
        <f>R164/L164</f>
        <v>#DIV/0!</v>
      </c>
      <c r="C164" s="2">
        <f>IF(ISBLANK($B164),-1,IFERROR(IF($B164&gt;0.9,2,IF($B164&lt;0.3,1,0)),-1))</f>
        <v>-1</v>
      </c>
      <c r="D164" s="79"/>
      <c r="E164" s="78"/>
      <c r="F164" s="26"/>
      <c r="G164" s="27"/>
      <c r="H164" s="14"/>
      <c r="I164" s="9"/>
      <c r="J164" s="16"/>
      <c r="K164" s="11"/>
      <c r="L164" s="22"/>
      <c r="M164" s="22"/>
      <c r="N164" s="18"/>
      <c r="O164" s="17"/>
      <c r="P164" s="18"/>
      <c r="Q164" s="18"/>
      <c r="R164" s="18"/>
      <c r="S164" s="6"/>
      <c r="T164" s="19"/>
      <c r="U164" s="20"/>
    </row>
    <row r="165" spans="1:21" ht="14.4" customHeight="1">
      <c r="A165" s="2">
        <f>ROW()-4</f>
        <v>161</v>
      </c>
      <c r="B165" s="39" t="e">
        <f>R165/L165</f>
        <v>#DIV/0!</v>
      </c>
      <c r="C165" s="2">
        <f>IF(ISBLANK($B165),-1,IFERROR(IF($B165&gt;0.9,2,IF($B165&lt;0.3,1,0)),-1))</f>
        <v>-1</v>
      </c>
      <c r="D165" s="79"/>
      <c r="E165" s="78"/>
      <c r="F165" s="26"/>
      <c r="G165" s="27"/>
      <c r="H165" s="14"/>
      <c r="I165" s="9"/>
      <c r="J165" s="16"/>
      <c r="K165" s="11"/>
      <c r="L165" s="22"/>
      <c r="M165" s="22"/>
      <c r="N165" s="18"/>
      <c r="O165" s="17"/>
      <c r="P165" s="18"/>
      <c r="Q165" s="18"/>
      <c r="R165" s="18"/>
      <c r="S165" s="6"/>
      <c r="T165" s="19"/>
      <c r="U165" s="20"/>
    </row>
    <row r="166" spans="1:21" ht="14.4" customHeight="1">
      <c r="A166" s="2">
        <f>ROW()-4</f>
        <v>162</v>
      </c>
      <c r="B166" s="39" t="e">
        <f>R166/L166</f>
        <v>#DIV/0!</v>
      </c>
      <c r="C166" s="2">
        <f>IF(ISBLANK($B166),-1,IFERROR(IF($B166&gt;0.9,2,IF($B166&lt;0.3,1,0)),-1))</f>
        <v>-1</v>
      </c>
      <c r="D166" s="79"/>
      <c r="E166" s="78"/>
      <c r="F166" s="26"/>
      <c r="G166" s="27"/>
      <c r="H166" s="14"/>
      <c r="I166" s="9"/>
      <c r="J166" s="16"/>
      <c r="K166" s="11"/>
      <c r="L166" s="22"/>
      <c r="M166" s="22"/>
      <c r="N166" s="18"/>
      <c r="O166" s="17"/>
      <c r="P166" s="18"/>
      <c r="Q166" s="18"/>
      <c r="R166" s="18"/>
      <c r="S166" s="6"/>
      <c r="T166" s="19"/>
      <c r="U166" s="20"/>
    </row>
    <row r="167" spans="1:21" ht="14.4" customHeight="1">
      <c r="A167" s="2">
        <f>ROW()-4</f>
        <v>163</v>
      </c>
      <c r="B167" s="39" t="e">
        <f>R167/L167</f>
        <v>#DIV/0!</v>
      </c>
      <c r="C167" s="2">
        <f>IF(ISBLANK($B167),-1,IFERROR(IF($B167&gt;0.9,2,IF($B167&lt;0.3,1,0)),-1))</f>
        <v>-1</v>
      </c>
      <c r="D167" s="79"/>
      <c r="E167" s="78"/>
      <c r="F167" s="26"/>
      <c r="G167" s="27"/>
      <c r="H167" s="14"/>
      <c r="I167" s="9"/>
      <c r="J167" s="16"/>
      <c r="K167" s="11"/>
      <c r="L167" s="22"/>
      <c r="M167" s="22"/>
      <c r="N167" s="18"/>
      <c r="O167" s="17"/>
      <c r="P167" s="18"/>
      <c r="Q167" s="18"/>
      <c r="R167" s="18"/>
      <c r="S167" s="6"/>
      <c r="T167" s="19"/>
      <c r="U167" s="20"/>
    </row>
    <row r="168" spans="1:21" ht="14.4" customHeight="1">
      <c r="A168" s="2">
        <f>ROW()-4</f>
        <v>164</v>
      </c>
      <c r="B168" s="39" t="e">
        <f>R168/L168</f>
        <v>#DIV/0!</v>
      </c>
      <c r="C168" s="2">
        <f>IF(ISBLANK($B168),-1,IFERROR(IF($B168&gt;0.9,2,IF($B168&lt;0.3,1,0)),-1))</f>
        <v>-1</v>
      </c>
      <c r="D168" s="79"/>
      <c r="E168" s="78"/>
      <c r="F168" s="26"/>
      <c r="G168" s="27"/>
      <c r="H168" s="14"/>
      <c r="I168" s="9"/>
      <c r="J168" s="16"/>
      <c r="K168" s="11"/>
      <c r="L168" s="22"/>
      <c r="M168" s="22"/>
      <c r="N168" s="18"/>
      <c r="O168" s="17"/>
      <c r="P168" s="18"/>
      <c r="Q168" s="18"/>
      <c r="R168" s="18"/>
      <c r="S168" s="6"/>
      <c r="T168" s="19"/>
      <c r="U168" s="20"/>
    </row>
    <row r="169" spans="1:21" ht="14.4" customHeight="1">
      <c r="A169" s="2">
        <f>ROW()-4</f>
        <v>165</v>
      </c>
      <c r="B169" s="39" t="e">
        <f>R169/L169</f>
        <v>#DIV/0!</v>
      </c>
      <c r="C169" s="2">
        <f>IF(ISBLANK($B169),-1,IFERROR(IF($B169&gt;0.9,2,IF($B169&lt;0.3,1,0)),-1))</f>
        <v>-1</v>
      </c>
      <c r="D169" s="79"/>
      <c r="E169" s="78"/>
      <c r="F169" s="26"/>
      <c r="G169" s="27"/>
      <c r="H169" s="14"/>
      <c r="I169" s="9"/>
      <c r="J169" s="16"/>
      <c r="K169" s="11"/>
      <c r="L169" s="22"/>
      <c r="M169" s="22"/>
      <c r="N169" s="18"/>
      <c r="O169" s="17"/>
      <c r="P169" s="18"/>
      <c r="Q169" s="18"/>
      <c r="R169" s="18"/>
      <c r="S169" s="6"/>
      <c r="T169" s="19"/>
      <c r="U169" s="20"/>
    </row>
    <row r="170" spans="1:21" ht="14.4" customHeight="1">
      <c r="A170" s="2">
        <f>ROW()-4</f>
        <v>166</v>
      </c>
      <c r="B170" s="39" t="e">
        <f>R170/L170</f>
        <v>#DIV/0!</v>
      </c>
      <c r="C170" s="2">
        <f>IF(ISBLANK($B170),-1,IFERROR(IF($B170&gt;0.9,2,IF($B170&lt;0.3,1,0)),-1))</f>
        <v>-1</v>
      </c>
      <c r="D170" s="79"/>
      <c r="E170" s="78"/>
      <c r="F170" s="26"/>
      <c r="G170" s="27"/>
      <c r="H170" s="14"/>
      <c r="I170" s="9"/>
      <c r="J170" s="16"/>
      <c r="K170" s="11"/>
      <c r="L170" s="22"/>
      <c r="M170" s="22"/>
      <c r="N170" s="18"/>
      <c r="O170" s="17"/>
      <c r="P170" s="18"/>
      <c r="Q170" s="18"/>
      <c r="R170" s="18"/>
      <c r="S170" s="6"/>
      <c r="T170" s="19"/>
      <c r="U170" s="20"/>
    </row>
    <row r="171" spans="1:21" ht="14.4" customHeight="1">
      <c r="A171" s="2">
        <f>ROW()-4</f>
        <v>167</v>
      </c>
      <c r="B171" s="39" t="e">
        <f>R171/L171</f>
        <v>#DIV/0!</v>
      </c>
      <c r="C171" s="2">
        <f>IF(ISBLANK($B171),-1,IFERROR(IF($B171&gt;0.9,2,IF($B171&lt;0.3,1,0)),-1))</f>
        <v>-1</v>
      </c>
      <c r="D171" s="79"/>
      <c r="E171" s="78"/>
      <c r="F171" s="26"/>
      <c r="G171" s="27"/>
      <c r="H171" s="14"/>
      <c r="I171" s="9"/>
      <c r="J171" s="16"/>
      <c r="K171" s="11"/>
      <c r="L171" s="22"/>
      <c r="M171" s="22"/>
      <c r="N171" s="18"/>
      <c r="O171" s="17"/>
      <c r="P171" s="18"/>
      <c r="Q171" s="18"/>
      <c r="R171" s="18"/>
      <c r="S171" s="6"/>
      <c r="T171" s="19"/>
      <c r="U171" s="20"/>
    </row>
    <row r="172" spans="1:21" ht="14.4" customHeight="1">
      <c r="A172" s="2">
        <f>ROW()-4</f>
        <v>168</v>
      </c>
      <c r="B172" s="39" t="e">
        <f>R172/L172</f>
        <v>#DIV/0!</v>
      </c>
      <c r="C172" s="2">
        <f>IF(ISBLANK($B172),-1,IFERROR(IF($B172&gt;0.9,2,IF($B172&lt;0.3,1,0)),-1))</f>
        <v>-1</v>
      </c>
      <c r="D172" s="79"/>
      <c r="E172" s="78"/>
      <c r="F172" s="26"/>
      <c r="G172" s="27"/>
      <c r="H172" s="14"/>
      <c r="I172" s="9"/>
      <c r="J172" s="16"/>
      <c r="K172" s="11"/>
      <c r="L172" s="22"/>
      <c r="M172" s="22"/>
      <c r="N172" s="18"/>
      <c r="O172" s="17"/>
      <c r="P172" s="18"/>
      <c r="Q172" s="18"/>
      <c r="R172" s="18"/>
      <c r="S172" s="6"/>
      <c r="T172" s="19"/>
      <c r="U172" s="20"/>
    </row>
    <row r="173" spans="1:21" ht="14.4" customHeight="1">
      <c r="A173" s="2">
        <f>ROW()-4</f>
        <v>169</v>
      </c>
      <c r="B173" s="39" t="e">
        <f>R173/L173</f>
        <v>#DIV/0!</v>
      </c>
      <c r="C173" s="2">
        <f>IF(ISBLANK($B173),-1,IFERROR(IF($B173&gt;0.9,2,IF($B173&lt;0.3,1,0)),-1))</f>
        <v>-1</v>
      </c>
      <c r="D173" s="79"/>
      <c r="E173" s="78"/>
      <c r="F173" s="26"/>
      <c r="G173" s="27"/>
      <c r="H173" s="14"/>
      <c r="I173" s="9"/>
      <c r="J173" s="16"/>
      <c r="K173" s="11"/>
      <c r="L173" s="22"/>
      <c r="M173" s="22"/>
      <c r="N173" s="18"/>
      <c r="O173" s="17"/>
      <c r="P173" s="18"/>
      <c r="Q173" s="18"/>
      <c r="R173" s="18"/>
      <c r="S173" s="6"/>
      <c r="T173" s="19"/>
      <c r="U173" s="20"/>
    </row>
    <row r="174" spans="1:21" ht="14.4" customHeight="1">
      <c r="A174" s="2">
        <f>ROW()-4</f>
        <v>170</v>
      </c>
      <c r="B174" s="39" t="e">
        <f>R174/L174</f>
        <v>#DIV/0!</v>
      </c>
      <c r="C174" s="2">
        <f>IF(ISBLANK($B174),-1,IFERROR(IF($B174&gt;0.9,2,IF($B174&lt;0.3,1,0)),-1))</f>
        <v>-1</v>
      </c>
      <c r="D174" s="79"/>
      <c r="E174" s="78"/>
      <c r="F174" s="26"/>
      <c r="G174" s="27"/>
      <c r="H174" s="14"/>
      <c r="I174" s="9"/>
      <c r="J174" s="16"/>
      <c r="K174" s="11"/>
      <c r="L174" s="22"/>
      <c r="M174" s="22"/>
      <c r="N174" s="18"/>
      <c r="O174" s="17"/>
      <c r="P174" s="18"/>
      <c r="Q174" s="18"/>
      <c r="R174" s="18"/>
      <c r="S174" s="6"/>
      <c r="T174" s="19"/>
      <c r="U174" s="20"/>
    </row>
    <row r="175" spans="1:21" ht="14.4" customHeight="1">
      <c r="A175" s="2">
        <f>ROW()-4</f>
        <v>171</v>
      </c>
      <c r="B175" s="39" t="e">
        <f>R175/L175</f>
        <v>#DIV/0!</v>
      </c>
      <c r="C175" s="2">
        <f>IF(ISBLANK($B175),-1,IFERROR(IF($B175&gt;0.9,2,IF($B175&lt;0.3,1,0)),-1))</f>
        <v>-1</v>
      </c>
      <c r="D175" s="79"/>
      <c r="E175" s="78"/>
      <c r="F175" s="26"/>
      <c r="G175" s="27"/>
      <c r="H175" s="14"/>
      <c r="I175" s="9"/>
      <c r="J175" s="16"/>
      <c r="K175" s="11"/>
      <c r="L175" s="22"/>
      <c r="M175" s="22"/>
      <c r="N175" s="18"/>
      <c r="O175" s="17"/>
      <c r="P175" s="18"/>
      <c r="Q175" s="18"/>
      <c r="R175" s="18"/>
      <c r="S175" s="6"/>
      <c r="T175" s="19"/>
      <c r="U175" s="20"/>
    </row>
    <row r="176" spans="1:21" ht="14.4" customHeight="1">
      <c r="A176" s="2">
        <f>ROW()-4</f>
        <v>172</v>
      </c>
      <c r="B176" s="39" t="e">
        <f>R176/L176</f>
        <v>#DIV/0!</v>
      </c>
      <c r="C176" s="2">
        <f>IF(ISBLANK($B176),-1,IFERROR(IF($B176&gt;0.9,2,IF($B176&lt;0.3,1,0)),-1))</f>
        <v>-1</v>
      </c>
      <c r="D176" s="79"/>
      <c r="E176" s="78"/>
      <c r="F176" s="26"/>
      <c r="G176" s="27"/>
      <c r="H176" s="14"/>
      <c r="I176" s="9"/>
      <c r="J176" s="16"/>
      <c r="K176" s="11"/>
      <c r="L176" s="22"/>
      <c r="M176" s="22"/>
      <c r="N176" s="18"/>
      <c r="O176" s="17"/>
      <c r="P176" s="18"/>
      <c r="Q176" s="18"/>
      <c r="R176" s="18"/>
      <c r="S176" s="6"/>
      <c r="T176" s="19"/>
      <c r="U176" s="20"/>
    </row>
    <row r="177" spans="1:21" ht="14.4" customHeight="1">
      <c r="A177" s="2">
        <f>ROW()-4</f>
        <v>173</v>
      </c>
      <c r="B177" s="39" t="e">
        <f>R177/L177</f>
        <v>#DIV/0!</v>
      </c>
      <c r="C177" s="2">
        <f>IF(ISBLANK($B177),-1,IFERROR(IF($B177&gt;0.9,2,IF($B177&lt;0.3,1,0)),-1))</f>
        <v>-1</v>
      </c>
      <c r="D177" s="79"/>
      <c r="E177" s="78"/>
      <c r="F177" s="26"/>
      <c r="G177" s="27"/>
      <c r="H177" s="14"/>
      <c r="I177" s="9"/>
      <c r="J177" s="16"/>
      <c r="K177" s="11"/>
      <c r="L177" s="22"/>
      <c r="M177" s="22"/>
      <c r="N177" s="18"/>
      <c r="O177" s="17"/>
      <c r="P177" s="18"/>
      <c r="Q177" s="18"/>
      <c r="R177" s="18"/>
      <c r="S177" s="6"/>
      <c r="T177" s="19"/>
      <c r="U177" s="20"/>
    </row>
    <row r="178" spans="1:21" ht="14.4" customHeight="1">
      <c r="A178" s="2">
        <f>ROW()-4</f>
        <v>174</v>
      </c>
      <c r="B178" s="39" t="e">
        <f>R178/L178</f>
        <v>#DIV/0!</v>
      </c>
      <c r="C178" s="2">
        <f>IF(ISBLANK($B178),-1,IFERROR(IF($B178&gt;0.9,2,IF($B178&lt;0.3,1,0)),-1))</f>
        <v>-1</v>
      </c>
      <c r="D178" s="79"/>
      <c r="E178" s="78"/>
      <c r="F178" s="26"/>
      <c r="G178" s="27"/>
      <c r="H178" s="14"/>
      <c r="I178" s="9"/>
      <c r="J178" s="16"/>
      <c r="K178" s="11"/>
      <c r="L178" s="22"/>
      <c r="M178" s="22"/>
      <c r="N178" s="18"/>
      <c r="O178" s="17"/>
      <c r="P178" s="18"/>
      <c r="Q178" s="18"/>
      <c r="R178" s="18"/>
      <c r="S178" s="6"/>
      <c r="T178" s="19"/>
      <c r="U178" s="20"/>
    </row>
    <row r="179" spans="1:21" ht="14.4" customHeight="1">
      <c r="A179" s="2">
        <f>ROW()-4</f>
        <v>175</v>
      </c>
      <c r="B179" s="39" t="e">
        <f>R179/L179</f>
        <v>#DIV/0!</v>
      </c>
      <c r="C179" s="2">
        <f>IF(ISBLANK($B179),-1,IFERROR(IF($B179&gt;0.9,2,IF($B179&lt;0.3,1,0)),-1))</f>
        <v>-1</v>
      </c>
      <c r="D179" s="79"/>
      <c r="E179" s="78"/>
      <c r="F179" s="26"/>
      <c r="G179" s="27"/>
      <c r="H179" s="14"/>
      <c r="I179" s="9"/>
      <c r="J179" s="16"/>
      <c r="K179" s="11"/>
      <c r="L179" s="22"/>
      <c r="M179" s="22"/>
      <c r="N179" s="18"/>
      <c r="O179" s="17"/>
      <c r="P179" s="18"/>
      <c r="Q179" s="18"/>
      <c r="R179" s="18"/>
      <c r="S179" s="6"/>
      <c r="T179" s="19"/>
      <c r="U179" s="20"/>
    </row>
    <row r="180" spans="1:21" ht="14.4" customHeight="1">
      <c r="A180" s="2">
        <f>ROW()-4</f>
        <v>176</v>
      </c>
      <c r="B180" s="39" t="e">
        <f>R180/L180</f>
        <v>#DIV/0!</v>
      </c>
      <c r="C180" s="2">
        <f>IF(ISBLANK($B180),-1,IFERROR(IF($B180&gt;0.9,2,IF($B180&lt;0.3,1,0)),-1))</f>
        <v>-1</v>
      </c>
      <c r="D180" s="79"/>
      <c r="E180" s="78"/>
      <c r="F180" s="26"/>
      <c r="G180" s="27"/>
      <c r="H180" s="14"/>
      <c r="I180" s="9"/>
      <c r="J180" s="16"/>
      <c r="K180" s="11"/>
      <c r="L180" s="22"/>
      <c r="M180" s="22"/>
      <c r="N180" s="18"/>
      <c r="O180" s="17"/>
      <c r="P180" s="18"/>
      <c r="Q180" s="18"/>
      <c r="R180" s="18"/>
      <c r="S180" s="6"/>
      <c r="T180" s="19"/>
      <c r="U180" s="20"/>
    </row>
    <row r="181" spans="1:21" ht="14.4" customHeight="1">
      <c r="A181" s="2">
        <f>ROW()-4</f>
        <v>177</v>
      </c>
      <c r="B181" s="39" t="e">
        <f>R181/L181</f>
        <v>#DIV/0!</v>
      </c>
      <c r="C181" s="2">
        <f>IF(ISBLANK($B181),-1,IFERROR(IF($B181&gt;0.9,2,IF($B181&lt;0.3,1,0)),-1))</f>
        <v>-1</v>
      </c>
      <c r="D181" s="79"/>
      <c r="E181" s="78"/>
      <c r="F181" s="26"/>
      <c r="G181" s="27"/>
      <c r="H181" s="14"/>
      <c r="I181" s="9"/>
      <c r="J181" s="16"/>
      <c r="K181" s="11"/>
      <c r="L181" s="22"/>
      <c r="M181" s="22"/>
      <c r="N181" s="18"/>
      <c r="O181" s="17"/>
      <c r="P181" s="18"/>
      <c r="Q181" s="18"/>
      <c r="R181" s="18"/>
      <c r="S181" s="6"/>
      <c r="T181" s="19"/>
      <c r="U181" s="20"/>
    </row>
    <row r="182" spans="1:21" ht="14.4" customHeight="1">
      <c r="A182" s="2">
        <f>ROW()-4</f>
        <v>178</v>
      </c>
      <c r="B182" s="39" t="e">
        <f>R182/L182</f>
        <v>#DIV/0!</v>
      </c>
      <c r="C182" s="2">
        <f>IF(ISBLANK($B182),-1,IFERROR(IF($B182&gt;0.9,2,IF($B182&lt;0.3,1,0)),-1))</f>
        <v>-1</v>
      </c>
      <c r="D182" s="79"/>
      <c r="E182" s="78"/>
      <c r="F182" s="26"/>
      <c r="G182" s="27"/>
      <c r="H182" s="14"/>
      <c r="I182" s="9"/>
      <c r="J182" s="16"/>
      <c r="K182" s="11"/>
      <c r="L182" s="22"/>
      <c r="M182" s="22"/>
      <c r="N182" s="18"/>
      <c r="O182" s="17"/>
      <c r="P182" s="18"/>
      <c r="Q182" s="18"/>
      <c r="R182" s="18"/>
      <c r="S182" s="6"/>
      <c r="T182" s="19"/>
      <c r="U182" s="20"/>
    </row>
    <row r="183" spans="1:21" ht="14.4" customHeight="1">
      <c r="A183" s="2">
        <f>ROW()-4</f>
        <v>179</v>
      </c>
      <c r="B183" s="39" t="e">
        <f>R183/L183</f>
        <v>#DIV/0!</v>
      </c>
      <c r="C183" s="2">
        <f>IF(ISBLANK($B183),-1,IFERROR(IF($B183&gt;0.9,2,IF($B183&lt;0.3,1,0)),-1))</f>
        <v>-1</v>
      </c>
      <c r="D183" s="79"/>
      <c r="E183" s="78"/>
      <c r="F183" s="26"/>
      <c r="G183" s="27"/>
      <c r="H183" s="14"/>
      <c r="I183" s="9"/>
      <c r="J183" s="16"/>
      <c r="K183" s="11"/>
      <c r="L183" s="22"/>
      <c r="M183" s="22"/>
      <c r="N183" s="18"/>
      <c r="O183" s="17"/>
      <c r="P183" s="18"/>
      <c r="Q183" s="18"/>
      <c r="R183" s="18"/>
      <c r="S183" s="6"/>
      <c r="T183" s="19"/>
      <c r="U183" s="20"/>
    </row>
    <row r="184" spans="1:21" ht="14.4" customHeight="1">
      <c r="A184" s="2">
        <f>ROW()-4</f>
        <v>180</v>
      </c>
      <c r="B184" s="39" t="e">
        <f>R184/L184</f>
        <v>#DIV/0!</v>
      </c>
      <c r="C184" s="2">
        <f>IF(ISBLANK($B184),-1,IFERROR(IF($B184&gt;0.9,2,IF($B184&lt;0.3,1,0)),-1))</f>
        <v>-1</v>
      </c>
      <c r="D184" s="79"/>
      <c r="E184" s="78"/>
      <c r="F184" s="26"/>
      <c r="G184" s="27"/>
      <c r="H184" s="14"/>
      <c r="I184" s="9"/>
      <c r="J184" s="16"/>
      <c r="K184" s="11"/>
      <c r="L184" s="22"/>
      <c r="M184" s="22"/>
      <c r="N184" s="18"/>
      <c r="O184" s="17"/>
      <c r="P184" s="18"/>
      <c r="Q184" s="18"/>
      <c r="R184" s="18"/>
      <c r="S184" s="6"/>
      <c r="T184" s="19"/>
      <c r="U184" s="20"/>
    </row>
    <row r="185" spans="1:21" ht="14.4" customHeight="1">
      <c r="A185" s="2">
        <f>ROW()-4</f>
        <v>181</v>
      </c>
      <c r="B185" s="39" t="e">
        <f>R185/L185</f>
        <v>#DIV/0!</v>
      </c>
      <c r="C185" s="2">
        <f>IF(ISBLANK($B185),-1,IFERROR(IF($B185&gt;0.9,2,IF($B185&lt;0.3,1,0)),-1))</f>
        <v>-1</v>
      </c>
      <c r="D185" s="79"/>
      <c r="E185" s="78"/>
      <c r="F185" s="26"/>
      <c r="G185" s="27"/>
      <c r="H185" s="14"/>
      <c r="I185" s="9"/>
      <c r="J185" s="16"/>
      <c r="K185" s="11"/>
      <c r="L185" s="22"/>
      <c r="M185" s="22"/>
      <c r="N185" s="18"/>
      <c r="O185" s="17"/>
      <c r="P185" s="18"/>
      <c r="Q185" s="18"/>
      <c r="R185" s="18"/>
      <c r="S185" s="6"/>
      <c r="T185" s="19"/>
      <c r="U185" s="20"/>
    </row>
    <row r="186" spans="1:21" ht="14.4" customHeight="1">
      <c r="A186" s="2">
        <f>ROW()-4</f>
        <v>182</v>
      </c>
      <c r="B186" s="39" t="e">
        <f>R186/L186</f>
        <v>#DIV/0!</v>
      </c>
      <c r="C186" s="2">
        <f>IF(ISBLANK($B186),-1,IFERROR(IF($B186&gt;0.9,2,IF($B186&lt;0.3,1,0)),-1))</f>
        <v>-1</v>
      </c>
      <c r="D186" s="79"/>
      <c r="E186" s="78"/>
      <c r="F186" s="26"/>
      <c r="G186" s="27"/>
      <c r="H186" s="14"/>
      <c r="I186" s="9"/>
      <c r="J186" s="16"/>
      <c r="K186" s="11"/>
      <c r="L186" s="22"/>
      <c r="M186" s="22"/>
      <c r="N186" s="18"/>
      <c r="O186" s="17"/>
      <c r="P186" s="18"/>
      <c r="Q186" s="18"/>
      <c r="R186" s="18"/>
      <c r="S186" s="6"/>
      <c r="T186" s="19"/>
      <c r="U186" s="20"/>
    </row>
    <row r="187" spans="1:21" ht="14.4" customHeight="1">
      <c r="A187" s="2">
        <f>ROW()-4</f>
        <v>183</v>
      </c>
      <c r="B187" s="39" t="e">
        <f>R187/L187</f>
        <v>#DIV/0!</v>
      </c>
      <c r="C187" s="2">
        <f>IF(ISBLANK($B187),-1,IFERROR(IF($B187&gt;0.9,2,IF($B187&lt;0.3,1,0)),-1))</f>
        <v>-1</v>
      </c>
      <c r="D187" s="79"/>
      <c r="E187" s="78"/>
      <c r="F187" s="26"/>
      <c r="G187" s="27"/>
      <c r="H187" s="14"/>
      <c r="I187" s="9"/>
      <c r="J187" s="16"/>
      <c r="K187" s="11"/>
      <c r="L187" s="22"/>
      <c r="M187" s="22"/>
      <c r="N187" s="18"/>
      <c r="O187" s="17"/>
      <c r="P187" s="18"/>
      <c r="Q187" s="18"/>
      <c r="R187" s="18"/>
      <c r="S187" s="6"/>
      <c r="T187" s="19"/>
      <c r="U187" s="20"/>
    </row>
    <row r="188" spans="1:21" ht="14.4" customHeight="1">
      <c r="A188" s="2">
        <f>ROW()-4</f>
        <v>184</v>
      </c>
      <c r="B188" s="39" t="e">
        <f>R188/L188</f>
        <v>#DIV/0!</v>
      </c>
      <c r="C188" s="2">
        <f>IF(ISBLANK($B188),-1,IFERROR(IF($B188&gt;0.9,2,IF($B188&lt;0.3,1,0)),-1))</f>
        <v>-1</v>
      </c>
      <c r="D188" s="79"/>
      <c r="E188" s="78"/>
      <c r="F188" s="26"/>
      <c r="G188" s="27"/>
      <c r="H188" s="14"/>
      <c r="I188" s="9"/>
      <c r="J188" s="16"/>
      <c r="K188" s="11"/>
      <c r="L188" s="22"/>
      <c r="M188" s="22"/>
      <c r="N188" s="18"/>
      <c r="O188" s="17"/>
      <c r="P188" s="18"/>
      <c r="Q188" s="18"/>
      <c r="R188" s="18"/>
      <c r="S188" s="6"/>
      <c r="T188" s="19"/>
      <c r="U188" s="20"/>
    </row>
    <row r="189" spans="1:21" ht="14.4" customHeight="1">
      <c r="A189" s="2">
        <f>ROW()-4</f>
        <v>185</v>
      </c>
      <c r="B189" s="39" t="e">
        <f>R189/L189</f>
        <v>#DIV/0!</v>
      </c>
      <c r="C189" s="2">
        <f>IF(ISBLANK($B189),-1,IFERROR(IF($B189&gt;0.9,2,IF($B189&lt;0.3,1,0)),-1))</f>
        <v>-1</v>
      </c>
      <c r="D189" s="79"/>
      <c r="E189" s="78"/>
      <c r="F189" s="26"/>
      <c r="G189" s="27"/>
      <c r="H189" s="14"/>
      <c r="I189" s="9"/>
      <c r="J189" s="16"/>
      <c r="K189" s="11"/>
      <c r="L189" s="22"/>
      <c r="M189" s="22"/>
      <c r="N189" s="18"/>
      <c r="O189" s="17"/>
      <c r="P189" s="18"/>
      <c r="Q189" s="18"/>
      <c r="R189" s="18"/>
      <c r="S189" s="6"/>
      <c r="T189" s="19"/>
      <c r="U189" s="20"/>
    </row>
    <row r="190" spans="1:21" ht="14.4" customHeight="1">
      <c r="A190" s="2">
        <f>ROW()-4</f>
        <v>186</v>
      </c>
      <c r="B190" s="39" t="e">
        <f>R190/L190</f>
        <v>#DIV/0!</v>
      </c>
      <c r="C190" s="2">
        <f>IF(ISBLANK($B190),-1,IFERROR(IF($B190&gt;0.9,2,IF($B190&lt;0.3,1,0)),-1))</f>
        <v>-1</v>
      </c>
      <c r="D190" s="79"/>
      <c r="E190" s="78"/>
      <c r="F190" s="26"/>
      <c r="G190" s="27"/>
      <c r="H190" s="14"/>
      <c r="I190" s="9"/>
      <c r="J190" s="16"/>
      <c r="K190" s="11"/>
      <c r="L190" s="22"/>
      <c r="M190" s="22"/>
      <c r="N190" s="18"/>
      <c r="O190" s="17"/>
      <c r="P190" s="18"/>
      <c r="Q190" s="18"/>
      <c r="R190" s="18"/>
      <c r="S190" s="6"/>
      <c r="T190" s="19"/>
      <c r="U190" s="20"/>
    </row>
    <row r="191" spans="1:21" ht="14.4" customHeight="1">
      <c r="A191" s="2">
        <f>ROW()-4</f>
        <v>187</v>
      </c>
      <c r="B191" s="39" t="e">
        <f>R191/L191</f>
        <v>#DIV/0!</v>
      </c>
      <c r="C191" s="2">
        <f>IF(ISBLANK($B191),-1,IFERROR(IF($B191&gt;0.9,2,IF($B191&lt;0.3,1,0)),-1))</f>
        <v>-1</v>
      </c>
      <c r="D191" s="79"/>
      <c r="E191" s="78"/>
      <c r="F191" s="26"/>
      <c r="G191" s="27"/>
      <c r="H191" s="14"/>
      <c r="I191" s="9"/>
      <c r="J191" s="16"/>
      <c r="K191" s="11"/>
      <c r="L191" s="22"/>
      <c r="M191" s="22"/>
      <c r="N191" s="18"/>
      <c r="O191" s="17"/>
      <c r="P191" s="18"/>
      <c r="Q191" s="18"/>
      <c r="R191" s="18"/>
      <c r="S191" s="6"/>
      <c r="T191" s="19"/>
      <c r="U191" s="20"/>
    </row>
    <row r="192" spans="1:21" ht="14.4" customHeight="1">
      <c r="A192" s="2">
        <f>ROW()-4</f>
        <v>188</v>
      </c>
      <c r="B192" s="39" t="e">
        <f>R192/L192</f>
        <v>#DIV/0!</v>
      </c>
      <c r="C192" s="2">
        <f>IF(ISBLANK($B192),-1,IFERROR(IF($B192&gt;0.9,2,IF($B192&lt;0.3,1,0)),-1))</f>
        <v>-1</v>
      </c>
      <c r="D192" s="79"/>
      <c r="E192" s="78"/>
      <c r="F192" s="26"/>
      <c r="G192" s="27"/>
      <c r="H192" s="14"/>
      <c r="I192" s="9"/>
      <c r="J192" s="16"/>
      <c r="K192" s="11"/>
      <c r="L192" s="22"/>
      <c r="M192" s="22"/>
      <c r="N192" s="18"/>
      <c r="O192" s="17"/>
      <c r="P192" s="18"/>
      <c r="Q192" s="18"/>
      <c r="R192" s="18"/>
      <c r="S192" s="6"/>
      <c r="T192" s="19"/>
      <c r="U192" s="20"/>
    </row>
    <row r="193" spans="1:21" ht="14.4" customHeight="1">
      <c r="A193" s="2">
        <f>ROW()-4</f>
        <v>189</v>
      </c>
      <c r="B193" s="39" t="e">
        <f>R193/L193</f>
        <v>#DIV/0!</v>
      </c>
      <c r="C193" s="2">
        <f>IF(ISBLANK($B193),-1,IFERROR(IF($B193&gt;0.9,2,IF($B193&lt;0.3,1,0)),-1))</f>
        <v>-1</v>
      </c>
      <c r="D193" s="79"/>
      <c r="E193" s="78"/>
      <c r="F193" s="26"/>
      <c r="G193" s="27"/>
      <c r="H193" s="14"/>
      <c r="I193" s="9"/>
      <c r="J193" s="16"/>
      <c r="K193" s="11"/>
      <c r="L193" s="22"/>
      <c r="M193" s="22"/>
      <c r="N193" s="18"/>
      <c r="O193" s="17"/>
      <c r="P193" s="18"/>
      <c r="Q193" s="18"/>
      <c r="R193" s="18"/>
      <c r="S193" s="6"/>
      <c r="T193" s="19"/>
      <c r="U193" s="20"/>
    </row>
    <row r="194" spans="1:21" ht="14.4" customHeight="1">
      <c r="A194" s="2">
        <f>ROW()-4</f>
        <v>190</v>
      </c>
      <c r="B194" s="39" t="e">
        <f>R194/L194</f>
        <v>#DIV/0!</v>
      </c>
      <c r="C194" s="2">
        <f>IF(ISBLANK($B194),-1,IFERROR(IF($B194&gt;0.9,2,IF($B194&lt;0.3,1,0)),-1))</f>
        <v>-1</v>
      </c>
      <c r="D194" s="79"/>
      <c r="E194" s="78"/>
      <c r="F194" s="26"/>
      <c r="G194" s="27"/>
      <c r="H194" s="14"/>
      <c r="I194" s="9"/>
      <c r="J194" s="16"/>
      <c r="K194" s="11"/>
      <c r="L194" s="22"/>
      <c r="M194" s="22"/>
      <c r="N194" s="18"/>
      <c r="O194" s="17"/>
      <c r="P194" s="18"/>
      <c r="Q194" s="18"/>
      <c r="R194" s="18"/>
      <c r="S194" s="6"/>
      <c r="T194" s="19"/>
      <c r="U194" s="20"/>
    </row>
    <row r="195" spans="1:21" ht="14.4" customHeight="1">
      <c r="A195" s="2">
        <f>ROW()-4</f>
        <v>191</v>
      </c>
      <c r="B195" s="39" t="e">
        <f>R195/L195</f>
        <v>#DIV/0!</v>
      </c>
      <c r="C195" s="2">
        <f>IF(ISBLANK($B195),-1,IFERROR(IF($B195&gt;0.9,2,IF($B195&lt;0.3,1,0)),-1))</f>
        <v>-1</v>
      </c>
      <c r="D195" s="79"/>
      <c r="E195" s="78"/>
      <c r="F195" s="26"/>
      <c r="G195" s="27"/>
      <c r="H195" s="14"/>
      <c r="I195" s="9"/>
      <c r="J195" s="16"/>
      <c r="K195" s="11"/>
      <c r="L195" s="22"/>
      <c r="M195" s="22"/>
      <c r="N195" s="18"/>
      <c r="O195" s="17"/>
      <c r="P195" s="18"/>
      <c r="Q195" s="18"/>
      <c r="R195" s="18"/>
      <c r="S195" s="6"/>
      <c r="T195" s="19"/>
      <c r="U195" s="20"/>
    </row>
    <row r="196" spans="1:21" ht="14.4" customHeight="1">
      <c r="A196" s="2">
        <f>ROW()-4</f>
        <v>192</v>
      </c>
      <c r="B196" s="39" t="e">
        <f>R196/L196</f>
        <v>#DIV/0!</v>
      </c>
      <c r="C196" s="2">
        <f>IF(ISBLANK($B196),-1,IFERROR(IF($B196&gt;0.9,2,IF($B196&lt;0.3,1,0)),-1))</f>
        <v>-1</v>
      </c>
      <c r="D196" s="79"/>
      <c r="E196" s="78"/>
      <c r="F196" s="26"/>
      <c r="G196" s="27"/>
      <c r="H196" s="14"/>
      <c r="I196" s="9"/>
      <c r="J196" s="16"/>
      <c r="K196" s="11"/>
      <c r="L196" s="22"/>
      <c r="M196" s="22"/>
      <c r="N196" s="18"/>
      <c r="O196" s="17"/>
      <c r="P196" s="18"/>
      <c r="Q196" s="18"/>
      <c r="R196" s="18"/>
      <c r="S196" s="6"/>
      <c r="T196" s="19"/>
      <c r="U196" s="20"/>
    </row>
    <row r="197" spans="1:21" ht="14.4" customHeight="1">
      <c r="A197" s="2">
        <f>ROW()-4</f>
        <v>193</v>
      </c>
      <c r="B197" s="39" t="e">
        <f>R197/L197</f>
        <v>#DIV/0!</v>
      </c>
      <c r="C197" s="2">
        <f>IF(ISBLANK($B197),-1,IFERROR(IF($B197&gt;0.9,2,IF($B197&lt;0.3,1,0)),-1))</f>
        <v>-1</v>
      </c>
      <c r="D197" s="79"/>
      <c r="E197" s="78"/>
      <c r="F197" s="26"/>
      <c r="G197" s="27"/>
      <c r="H197" s="14"/>
      <c r="I197" s="9"/>
      <c r="J197" s="16"/>
      <c r="K197" s="11"/>
      <c r="L197" s="22"/>
      <c r="M197" s="22"/>
      <c r="N197" s="18"/>
      <c r="O197" s="17"/>
      <c r="P197" s="18"/>
      <c r="Q197" s="18"/>
      <c r="R197" s="18"/>
      <c r="S197" s="6"/>
      <c r="T197" s="19"/>
      <c r="U197" s="20"/>
    </row>
    <row r="198" spans="1:21" ht="14.4" customHeight="1">
      <c r="A198" s="2">
        <f>ROW()-4</f>
        <v>194</v>
      </c>
      <c r="B198" s="39" t="e">
        <f>R198/L198</f>
        <v>#DIV/0!</v>
      </c>
      <c r="C198" s="2">
        <f>IF(ISBLANK($B198),-1,IFERROR(IF($B198&gt;0.9,2,IF($B198&lt;0.3,1,0)),-1))</f>
        <v>-1</v>
      </c>
      <c r="D198" s="79"/>
      <c r="E198" s="78"/>
      <c r="F198" s="26"/>
      <c r="G198" s="27"/>
      <c r="H198" s="14"/>
      <c r="I198" s="9"/>
      <c r="J198" s="16"/>
      <c r="K198" s="11"/>
      <c r="L198" s="22"/>
      <c r="M198" s="22"/>
      <c r="N198" s="18"/>
      <c r="O198" s="17"/>
      <c r="P198" s="18"/>
      <c r="Q198" s="18"/>
      <c r="R198" s="18"/>
      <c r="S198" s="6"/>
      <c r="T198" s="19"/>
      <c r="U198" s="20"/>
    </row>
    <row r="199" spans="1:21" ht="14.4" customHeight="1">
      <c r="A199" s="2">
        <f>ROW()-4</f>
        <v>195</v>
      </c>
      <c r="B199" s="39" t="e">
        <f>R199/L199</f>
        <v>#DIV/0!</v>
      </c>
      <c r="C199" s="2">
        <f>IF(ISBLANK($B199),-1,IFERROR(IF($B199&gt;0.9,2,IF($B199&lt;0.3,1,0)),-1))</f>
        <v>-1</v>
      </c>
      <c r="D199" s="79"/>
      <c r="E199" s="78"/>
      <c r="F199" s="26"/>
      <c r="G199" s="27"/>
      <c r="H199" s="14"/>
      <c r="I199" s="9"/>
      <c r="J199" s="16"/>
      <c r="K199" s="11"/>
      <c r="L199" s="22"/>
      <c r="M199" s="22"/>
      <c r="N199" s="18"/>
      <c r="O199" s="17"/>
      <c r="P199" s="18"/>
      <c r="Q199" s="18"/>
      <c r="R199" s="18"/>
      <c r="S199" s="6"/>
      <c r="T199" s="19"/>
      <c r="U199" s="20"/>
    </row>
    <row r="200" spans="1:21" ht="14.4" customHeight="1">
      <c r="A200" s="2">
        <f>ROW()-4</f>
        <v>196</v>
      </c>
      <c r="B200" s="39" t="e">
        <f>R200/L200</f>
        <v>#DIV/0!</v>
      </c>
      <c r="C200" s="2">
        <f>IF(ISBLANK($B200),-1,IFERROR(IF($B200&gt;0.9,2,IF($B200&lt;0.3,1,0)),-1))</f>
        <v>-1</v>
      </c>
      <c r="D200" s="79"/>
      <c r="E200" s="78"/>
      <c r="F200" s="26"/>
      <c r="G200" s="27"/>
      <c r="H200" s="14"/>
      <c r="I200" s="9"/>
      <c r="J200" s="16"/>
      <c r="K200" s="11"/>
      <c r="L200" s="22"/>
      <c r="M200" s="22"/>
      <c r="N200" s="18"/>
      <c r="O200" s="17"/>
      <c r="P200" s="18"/>
      <c r="Q200" s="18"/>
      <c r="R200" s="18"/>
      <c r="S200" s="6"/>
      <c r="T200" s="19"/>
      <c r="U200" s="20"/>
    </row>
    <row r="201" spans="1:21" ht="14.4" customHeight="1">
      <c r="A201" s="2">
        <f>ROW()-4</f>
        <v>197</v>
      </c>
      <c r="B201" s="39" t="e">
        <f>R201/L201</f>
        <v>#DIV/0!</v>
      </c>
      <c r="C201" s="2">
        <f>IF(ISBLANK($B201),-1,IFERROR(IF($B201&gt;0.9,2,IF($B201&lt;0.3,1,0)),-1))</f>
        <v>-1</v>
      </c>
      <c r="D201" s="79"/>
      <c r="E201" s="78"/>
      <c r="F201" s="26"/>
      <c r="G201" s="27"/>
      <c r="H201" s="14"/>
      <c r="I201" s="9"/>
      <c r="J201" s="16"/>
      <c r="K201" s="11"/>
      <c r="L201" s="22"/>
      <c r="M201" s="22"/>
      <c r="N201" s="18"/>
      <c r="O201" s="17"/>
      <c r="P201" s="18"/>
      <c r="Q201" s="18"/>
      <c r="R201" s="18"/>
      <c r="S201" s="6"/>
      <c r="T201" s="19"/>
      <c r="U201" s="20"/>
    </row>
    <row r="202" spans="1:21" ht="14.4" customHeight="1">
      <c r="A202" s="2">
        <f>ROW()-4</f>
        <v>198</v>
      </c>
      <c r="B202" s="39" t="e">
        <f>R202/L202</f>
        <v>#DIV/0!</v>
      </c>
      <c r="C202" s="2">
        <f>IF(ISBLANK($B202),-1,IFERROR(IF($B202&gt;0.9,2,IF($B202&lt;0.3,1,0)),-1))</f>
        <v>-1</v>
      </c>
      <c r="D202" s="79"/>
      <c r="E202" s="78"/>
      <c r="F202" s="26"/>
      <c r="G202" s="27"/>
      <c r="H202" s="14"/>
      <c r="I202" s="9"/>
      <c r="J202" s="16"/>
      <c r="K202" s="11"/>
      <c r="L202" s="22"/>
      <c r="M202" s="22"/>
      <c r="N202" s="18"/>
      <c r="O202" s="17"/>
      <c r="P202" s="18"/>
      <c r="Q202" s="18"/>
      <c r="R202" s="18"/>
      <c r="S202" s="6"/>
      <c r="T202" s="19"/>
      <c r="U202" s="20"/>
    </row>
    <row r="203" spans="1:21" ht="14.4" customHeight="1">
      <c r="A203" s="2">
        <f>ROW()-4</f>
        <v>199</v>
      </c>
      <c r="B203" s="39" t="e">
        <f>R203/L203</f>
        <v>#DIV/0!</v>
      </c>
      <c r="C203" s="2">
        <f>IF(ISBLANK($B203),-1,IFERROR(IF($B203&gt;0.9,2,IF($B203&lt;0.3,1,0)),-1))</f>
        <v>-1</v>
      </c>
      <c r="D203" s="79"/>
      <c r="E203" s="78"/>
      <c r="F203" s="26"/>
      <c r="G203" s="27"/>
      <c r="H203" s="14"/>
      <c r="I203" s="9"/>
      <c r="J203" s="16"/>
      <c r="K203" s="11"/>
      <c r="L203" s="22"/>
      <c r="M203" s="22"/>
      <c r="N203" s="18"/>
      <c r="O203" s="17"/>
      <c r="P203" s="18"/>
      <c r="Q203" s="18"/>
      <c r="R203" s="18"/>
      <c r="S203" s="6"/>
      <c r="T203" s="19"/>
      <c r="U203" s="20"/>
    </row>
    <row r="204" spans="1:21" ht="14.4" customHeight="1">
      <c r="A204" s="2">
        <f>ROW()-4</f>
        <v>200</v>
      </c>
      <c r="B204" s="39" t="e">
        <f>R204/L204</f>
        <v>#DIV/0!</v>
      </c>
      <c r="C204" s="2">
        <f>IF(ISBLANK($B204),-1,IFERROR(IF($B204&gt;0.9,2,IF($B204&lt;0.3,1,0)),-1))</f>
        <v>-1</v>
      </c>
      <c r="D204" s="79"/>
      <c r="E204" s="78"/>
      <c r="F204" s="26"/>
      <c r="G204" s="27"/>
      <c r="H204" s="14"/>
      <c r="I204" s="9"/>
      <c r="J204" s="16"/>
      <c r="K204" s="11"/>
      <c r="L204" s="22"/>
      <c r="M204" s="22"/>
      <c r="N204" s="18"/>
      <c r="O204" s="17"/>
      <c r="P204" s="18"/>
      <c r="Q204" s="18"/>
      <c r="R204" s="18"/>
      <c r="S204" s="6"/>
      <c r="T204" s="19"/>
      <c r="U204" s="20"/>
    </row>
    <row r="205" spans="1:21" ht="14.4" customHeight="1">
      <c r="A205" s="2">
        <f>ROW()-4</f>
        <v>201</v>
      </c>
      <c r="B205" s="39" t="e">
        <f>R205/L205</f>
        <v>#DIV/0!</v>
      </c>
      <c r="C205" s="2">
        <f>IF(ISBLANK($B205),-1,IFERROR(IF($B205&gt;0.9,2,IF($B205&lt;0.3,1,0)),-1))</f>
        <v>-1</v>
      </c>
      <c r="D205" s="79"/>
      <c r="E205" s="78"/>
      <c r="F205" s="26"/>
      <c r="G205" s="27"/>
      <c r="H205" s="14"/>
      <c r="I205" s="9"/>
      <c r="J205" s="16"/>
      <c r="K205" s="11"/>
      <c r="L205" s="22"/>
      <c r="M205" s="22"/>
      <c r="N205" s="18"/>
      <c r="O205" s="17"/>
      <c r="P205" s="18"/>
      <c r="Q205" s="18"/>
      <c r="R205" s="18"/>
      <c r="S205" s="6"/>
      <c r="T205" s="19"/>
      <c r="U205" s="20"/>
    </row>
    <row r="206" spans="1:21" ht="14.4" customHeight="1">
      <c r="A206" s="2">
        <f>ROW()-4</f>
        <v>202</v>
      </c>
      <c r="B206" s="39" t="e">
        <f>R206/L206</f>
        <v>#DIV/0!</v>
      </c>
      <c r="C206" s="2">
        <f>IF(ISBLANK($B206),-1,IFERROR(IF($B206&gt;0.9,2,IF($B206&lt;0.3,1,0)),-1))</f>
        <v>-1</v>
      </c>
      <c r="D206" s="79"/>
      <c r="E206" s="78"/>
      <c r="F206" s="26"/>
      <c r="G206" s="27"/>
      <c r="H206" s="14"/>
      <c r="I206" s="9"/>
      <c r="J206" s="16"/>
      <c r="K206" s="11"/>
      <c r="L206" s="22"/>
      <c r="M206" s="22"/>
      <c r="N206" s="18"/>
      <c r="O206" s="17"/>
      <c r="P206" s="18"/>
      <c r="Q206" s="18"/>
      <c r="R206" s="18"/>
      <c r="S206" s="6"/>
      <c r="T206" s="19"/>
      <c r="U206" s="20"/>
    </row>
    <row r="207" spans="1:21" ht="14.4" customHeight="1">
      <c r="A207" s="2">
        <f>ROW()-4</f>
        <v>203</v>
      </c>
      <c r="B207" s="39" t="e">
        <f>R207/L207</f>
        <v>#DIV/0!</v>
      </c>
      <c r="C207" s="2">
        <f>IF(ISBLANK($B207),-1,IFERROR(IF($B207&gt;0.9,2,IF($B207&lt;0.3,1,0)),-1))</f>
        <v>-1</v>
      </c>
      <c r="D207" s="79"/>
      <c r="E207" s="78"/>
      <c r="F207" s="26"/>
      <c r="G207" s="27"/>
      <c r="H207" s="14"/>
      <c r="I207" s="9"/>
      <c r="J207" s="16"/>
      <c r="K207" s="11"/>
      <c r="L207" s="22"/>
      <c r="M207" s="22"/>
      <c r="N207" s="18"/>
      <c r="O207" s="17"/>
      <c r="P207" s="18"/>
      <c r="Q207" s="18"/>
      <c r="R207" s="18"/>
      <c r="S207" s="6"/>
      <c r="T207" s="19"/>
      <c r="U207" s="20"/>
    </row>
    <row r="208" spans="1:21" ht="14.4" customHeight="1">
      <c r="A208" s="2">
        <f>ROW()-4</f>
        <v>204</v>
      </c>
      <c r="B208" s="39" t="e">
        <f>R208/L208</f>
        <v>#DIV/0!</v>
      </c>
      <c r="C208" s="2">
        <f>IF(ISBLANK($B208),-1,IFERROR(IF($B208&gt;0.9,2,IF($B208&lt;0.3,1,0)),-1))</f>
        <v>-1</v>
      </c>
      <c r="D208" s="79"/>
      <c r="E208" s="78"/>
      <c r="F208" s="26"/>
      <c r="G208" s="27"/>
      <c r="H208" s="14"/>
      <c r="I208" s="9"/>
      <c r="J208" s="16"/>
      <c r="K208" s="11"/>
      <c r="L208" s="22"/>
      <c r="M208" s="22"/>
      <c r="N208" s="18"/>
      <c r="O208" s="17"/>
      <c r="P208" s="18"/>
      <c r="Q208" s="18"/>
      <c r="R208" s="18"/>
      <c r="S208" s="6"/>
      <c r="T208" s="19"/>
      <c r="U208" s="20"/>
    </row>
    <row r="209" spans="1:21" ht="14.4" customHeight="1">
      <c r="A209" s="2">
        <f>ROW()-4</f>
        <v>205</v>
      </c>
      <c r="B209" s="39" t="e">
        <f>R209/L209</f>
        <v>#DIV/0!</v>
      </c>
      <c r="C209" s="2">
        <f>IF(ISBLANK($B209),-1,IFERROR(IF($B209&gt;0.9,2,IF($B209&lt;0.3,1,0)),-1))</f>
        <v>-1</v>
      </c>
      <c r="D209" s="79"/>
      <c r="E209" s="78"/>
      <c r="F209" s="26"/>
      <c r="G209" s="27"/>
      <c r="H209" s="14"/>
      <c r="I209" s="9"/>
      <c r="J209" s="16"/>
      <c r="K209" s="11"/>
      <c r="L209" s="22"/>
      <c r="M209" s="22"/>
      <c r="N209" s="18"/>
      <c r="O209" s="17"/>
      <c r="P209" s="18"/>
      <c r="Q209" s="18"/>
      <c r="R209" s="18"/>
      <c r="S209" s="6"/>
      <c r="T209" s="19"/>
      <c r="U209" s="20"/>
    </row>
    <row r="210" spans="1:21" ht="14.4" customHeight="1">
      <c r="A210" s="2">
        <f>ROW()-4</f>
        <v>206</v>
      </c>
      <c r="B210" s="39" t="e">
        <f>R210/L210</f>
        <v>#DIV/0!</v>
      </c>
      <c r="C210" s="2">
        <f>IF(ISBLANK($B210),-1,IFERROR(IF($B210&gt;0.9,2,IF($B210&lt;0.3,1,0)),-1))</f>
        <v>-1</v>
      </c>
      <c r="D210" s="79"/>
      <c r="E210" s="78"/>
      <c r="F210" s="26"/>
      <c r="G210" s="27"/>
      <c r="H210" s="14"/>
      <c r="I210" s="9"/>
      <c r="J210" s="16"/>
      <c r="K210" s="11"/>
      <c r="L210" s="22"/>
      <c r="M210" s="22"/>
      <c r="N210" s="18"/>
      <c r="O210" s="17"/>
      <c r="P210" s="18"/>
      <c r="Q210" s="18"/>
      <c r="R210" s="18"/>
      <c r="S210" s="6"/>
      <c r="T210" s="19"/>
      <c r="U210" s="20"/>
    </row>
    <row r="211" spans="1:21" ht="14.4" customHeight="1">
      <c r="A211" s="2">
        <f>ROW()-4</f>
        <v>207</v>
      </c>
      <c r="B211" s="39" t="e">
        <f>R211/L211</f>
        <v>#DIV/0!</v>
      </c>
      <c r="C211" s="2">
        <f>IF(ISBLANK($B211),-1,IFERROR(IF($B211&gt;0.9,2,IF($B211&lt;0.3,1,0)),-1))</f>
        <v>-1</v>
      </c>
      <c r="D211" s="79"/>
      <c r="E211" s="78"/>
      <c r="F211" s="26"/>
      <c r="G211" s="27"/>
      <c r="H211" s="14"/>
      <c r="I211" s="9"/>
      <c r="J211" s="16"/>
      <c r="K211" s="11"/>
      <c r="L211" s="22"/>
      <c r="M211" s="22"/>
      <c r="N211" s="18"/>
      <c r="O211" s="17"/>
      <c r="P211" s="18"/>
      <c r="Q211" s="18"/>
      <c r="R211" s="18"/>
      <c r="S211" s="6"/>
      <c r="T211" s="19"/>
      <c r="U211" s="20"/>
    </row>
    <row r="212" spans="1:21" ht="14.4" customHeight="1">
      <c r="A212" s="2">
        <f>ROW()-4</f>
        <v>208</v>
      </c>
      <c r="B212" s="39" t="e">
        <f>R212/L212</f>
        <v>#DIV/0!</v>
      </c>
      <c r="C212" s="2">
        <f>IF(ISBLANK($B212),-1,IFERROR(IF($B212&gt;0.9,2,IF($B212&lt;0.3,1,0)),-1))</f>
        <v>-1</v>
      </c>
      <c r="D212" s="79"/>
      <c r="E212" s="78"/>
      <c r="F212" s="26"/>
      <c r="G212" s="27"/>
      <c r="H212" s="14"/>
      <c r="I212" s="9"/>
      <c r="J212" s="16"/>
      <c r="K212" s="11"/>
      <c r="L212" s="22"/>
      <c r="M212" s="22"/>
      <c r="N212" s="18"/>
      <c r="O212" s="17"/>
      <c r="P212" s="18"/>
      <c r="Q212" s="18"/>
      <c r="R212" s="18"/>
      <c r="S212" s="6"/>
      <c r="T212" s="19"/>
      <c r="U212" s="20"/>
    </row>
    <row r="213" spans="1:21" ht="14.4" customHeight="1">
      <c r="A213" s="2">
        <f>ROW()-4</f>
        <v>209</v>
      </c>
      <c r="B213" s="39" t="e">
        <f>R213/L213</f>
        <v>#DIV/0!</v>
      </c>
      <c r="C213" s="2">
        <f>IF(ISBLANK($B213),-1,IFERROR(IF($B213&gt;0.9,2,IF($B213&lt;0.3,1,0)),-1))</f>
        <v>-1</v>
      </c>
      <c r="D213" s="79"/>
      <c r="E213" s="78"/>
      <c r="F213" s="26"/>
      <c r="G213" s="27"/>
      <c r="H213" s="14"/>
      <c r="I213" s="9"/>
      <c r="J213" s="16"/>
      <c r="K213" s="11"/>
      <c r="L213" s="22"/>
      <c r="M213" s="22"/>
      <c r="N213" s="18"/>
      <c r="O213" s="17"/>
      <c r="P213" s="18"/>
      <c r="Q213" s="18"/>
      <c r="R213" s="18"/>
      <c r="S213" s="6"/>
      <c r="T213" s="19"/>
      <c r="U213" s="20"/>
    </row>
    <row r="214" spans="1:21" ht="14.4" customHeight="1">
      <c r="A214" s="2">
        <f>ROW()-4</f>
        <v>210</v>
      </c>
      <c r="B214" s="39" t="e">
        <f>R214/L214</f>
        <v>#DIV/0!</v>
      </c>
      <c r="C214" s="2">
        <f>IF(ISBLANK($B214),-1,IFERROR(IF($B214&gt;0.9,2,IF($B214&lt;0.3,1,0)),-1))</f>
        <v>-1</v>
      </c>
      <c r="D214" s="79"/>
      <c r="E214" s="78"/>
      <c r="F214" s="26"/>
      <c r="G214" s="27"/>
      <c r="H214" s="14"/>
      <c r="I214" s="9"/>
      <c r="J214" s="16"/>
      <c r="K214" s="11"/>
      <c r="L214" s="22"/>
      <c r="M214" s="22"/>
      <c r="N214" s="18"/>
      <c r="O214" s="17"/>
      <c r="P214" s="18"/>
      <c r="Q214" s="18"/>
      <c r="R214" s="18"/>
      <c r="S214" s="6"/>
      <c r="T214" s="19"/>
      <c r="U214" s="20"/>
    </row>
    <row r="215" spans="1:21" ht="14.4" customHeight="1">
      <c r="A215" s="2">
        <f>ROW()-4</f>
        <v>211</v>
      </c>
      <c r="B215" s="39" t="e">
        <f>R215/L215</f>
        <v>#DIV/0!</v>
      </c>
      <c r="C215" s="2">
        <f>IF(ISBLANK($B215),-1,IFERROR(IF($B215&gt;0.9,2,IF($B215&lt;0.3,1,0)),-1))</f>
        <v>-1</v>
      </c>
      <c r="D215" s="79"/>
      <c r="E215" s="78"/>
      <c r="F215" s="26"/>
      <c r="G215" s="27"/>
      <c r="H215" s="14"/>
      <c r="I215" s="9"/>
      <c r="J215" s="16"/>
      <c r="K215" s="11"/>
      <c r="L215" s="22"/>
      <c r="M215" s="22"/>
      <c r="N215" s="18"/>
      <c r="O215" s="17"/>
      <c r="P215" s="18"/>
      <c r="Q215" s="18"/>
      <c r="R215" s="18"/>
      <c r="S215" s="6"/>
      <c r="T215" s="19"/>
      <c r="U215" s="20"/>
    </row>
    <row r="216" spans="1:21" ht="14.4" customHeight="1">
      <c r="A216" s="2">
        <f>ROW()-4</f>
        <v>212</v>
      </c>
      <c r="B216" s="39" t="e">
        <f>R216/L216</f>
        <v>#DIV/0!</v>
      </c>
      <c r="C216" s="2">
        <f>IF(ISBLANK($B216),-1,IFERROR(IF($B216&gt;0.9,2,IF($B216&lt;0.3,1,0)),-1))</f>
        <v>-1</v>
      </c>
      <c r="D216" s="79"/>
      <c r="E216" s="78"/>
      <c r="F216" s="26"/>
      <c r="G216" s="27"/>
      <c r="H216" s="14"/>
      <c r="I216" s="9"/>
      <c r="J216" s="16"/>
      <c r="K216" s="11"/>
      <c r="L216" s="22"/>
      <c r="M216" s="22"/>
      <c r="N216" s="18"/>
      <c r="O216" s="17"/>
      <c r="P216" s="18"/>
      <c r="Q216" s="18"/>
      <c r="R216" s="18"/>
      <c r="S216" s="6"/>
      <c r="T216" s="19"/>
      <c r="U216" s="20"/>
    </row>
    <row r="217" spans="1:21" ht="14.4" customHeight="1">
      <c r="A217" s="2">
        <f>ROW()-4</f>
        <v>213</v>
      </c>
      <c r="B217" s="39" t="e">
        <f>R217/L217</f>
        <v>#DIV/0!</v>
      </c>
      <c r="C217" s="2">
        <f>IF(ISBLANK($B217),-1,IFERROR(IF($B217&gt;0.9,2,IF($B217&lt;0.3,1,0)),-1))</f>
        <v>-1</v>
      </c>
      <c r="D217" s="79"/>
      <c r="E217" s="78"/>
      <c r="F217" s="26"/>
      <c r="G217" s="27"/>
      <c r="H217" s="14"/>
      <c r="I217" s="9"/>
      <c r="J217" s="16"/>
      <c r="K217" s="11"/>
      <c r="L217" s="22"/>
      <c r="M217" s="22"/>
      <c r="N217" s="18"/>
      <c r="O217" s="17"/>
      <c r="P217" s="18"/>
      <c r="Q217" s="18"/>
      <c r="R217" s="18"/>
      <c r="S217" s="6"/>
      <c r="T217" s="19"/>
      <c r="U217" s="20"/>
    </row>
    <row r="218" spans="1:21" ht="14.4" customHeight="1">
      <c r="A218" s="2">
        <f>ROW()-4</f>
        <v>214</v>
      </c>
      <c r="B218" s="39" t="e">
        <f>R218/L218</f>
        <v>#DIV/0!</v>
      </c>
      <c r="C218" s="2">
        <f>IF(ISBLANK($B218),-1,IFERROR(IF($B218&gt;0.9,2,IF($B218&lt;0.3,1,0)),-1))</f>
        <v>-1</v>
      </c>
      <c r="D218" s="79"/>
      <c r="E218" s="78"/>
      <c r="F218" s="26"/>
      <c r="G218" s="27"/>
      <c r="H218" s="14"/>
      <c r="I218" s="9"/>
      <c r="J218" s="16"/>
      <c r="K218" s="11"/>
      <c r="L218" s="22"/>
      <c r="M218" s="22"/>
      <c r="N218" s="18"/>
      <c r="O218" s="17"/>
      <c r="P218" s="18"/>
      <c r="Q218" s="18"/>
      <c r="R218" s="18"/>
      <c r="S218" s="6"/>
      <c r="T218" s="19"/>
      <c r="U218" s="20"/>
    </row>
    <row r="219" spans="1:21" ht="14.4" customHeight="1">
      <c r="A219" s="2">
        <f>ROW()-4</f>
        <v>215</v>
      </c>
      <c r="B219" s="39" t="e">
        <f>R219/L219</f>
        <v>#DIV/0!</v>
      </c>
      <c r="C219" s="2">
        <f>IF(ISBLANK($B219),-1,IFERROR(IF($B219&gt;0.9,2,IF($B219&lt;0.3,1,0)),-1))</f>
        <v>-1</v>
      </c>
      <c r="D219" s="79"/>
      <c r="E219" s="78"/>
      <c r="F219" s="26"/>
      <c r="G219" s="27"/>
      <c r="H219" s="14"/>
      <c r="I219" s="9"/>
      <c r="J219" s="16"/>
      <c r="K219" s="11"/>
      <c r="L219" s="22"/>
      <c r="M219" s="22"/>
      <c r="N219" s="18"/>
      <c r="O219" s="17"/>
      <c r="P219" s="18"/>
      <c r="Q219" s="18"/>
      <c r="R219" s="18"/>
      <c r="S219" s="6"/>
      <c r="T219" s="19"/>
      <c r="U219" s="20"/>
    </row>
    <row r="220" spans="1:21" ht="14.4" customHeight="1">
      <c r="A220" s="2">
        <f>ROW()-4</f>
        <v>216</v>
      </c>
      <c r="B220" s="39" t="e">
        <f>R220/L220</f>
        <v>#DIV/0!</v>
      </c>
      <c r="C220" s="2">
        <f>IF(ISBLANK($B220),-1,IFERROR(IF($B220&gt;0.9,2,IF($B220&lt;0.3,1,0)),-1))</f>
        <v>-1</v>
      </c>
      <c r="D220" s="79"/>
      <c r="E220" s="78"/>
      <c r="F220" s="26"/>
      <c r="G220" s="27"/>
      <c r="H220" s="14"/>
      <c r="I220" s="9"/>
      <c r="J220" s="16"/>
      <c r="K220" s="11"/>
      <c r="L220" s="22"/>
      <c r="M220" s="22"/>
      <c r="N220" s="18"/>
      <c r="O220" s="17"/>
      <c r="P220" s="18"/>
      <c r="Q220" s="18"/>
      <c r="R220" s="18"/>
      <c r="S220" s="6"/>
      <c r="T220" s="19"/>
      <c r="U220" s="20"/>
    </row>
    <row r="221" spans="1:21" ht="14.4" customHeight="1">
      <c r="A221" s="2">
        <f>ROW()-4</f>
        <v>217</v>
      </c>
      <c r="B221" s="39" t="e">
        <f>R221/L221</f>
        <v>#DIV/0!</v>
      </c>
      <c r="C221" s="2">
        <f>IF(ISBLANK($B221),-1,IFERROR(IF($B221&gt;0.9,2,IF($B221&lt;0.3,1,0)),-1))</f>
        <v>-1</v>
      </c>
      <c r="D221" s="79"/>
      <c r="E221" s="78"/>
      <c r="F221" s="26"/>
      <c r="G221" s="27"/>
      <c r="H221" s="14"/>
      <c r="I221" s="9"/>
      <c r="J221" s="16"/>
      <c r="K221" s="11"/>
      <c r="L221" s="22"/>
      <c r="M221" s="22"/>
      <c r="N221" s="18"/>
      <c r="O221" s="17"/>
      <c r="P221" s="18"/>
      <c r="Q221" s="18"/>
      <c r="R221" s="18"/>
      <c r="S221" s="6"/>
      <c r="T221" s="19"/>
      <c r="U221" s="20"/>
    </row>
    <row r="222" spans="1:21" ht="14.4" customHeight="1">
      <c r="A222" s="2">
        <f>ROW()-4</f>
        <v>218</v>
      </c>
      <c r="B222" s="39" t="e">
        <f>R222/L222</f>
        <v>#DIV/0!</v>
      </c>
      <c r="C222" s="2">
        <f>IF(ISBLANK($B222),-1,IFERROR(IF($B222&gt;0.9,2,IF($B222&lt;0.3,1,0)),-1))</f>
        <v>-1</v>
      </c>
      <c r="D222" s="79"/>
      <c r="E222" s="78"/>
      <c r="F222" s="26"/>
      <c r="G222" s="27"/>
      <c r="H222" s="14"/>
      <c r="I222" s="9"/>
      <c r="J222" s="16"/>
      <c r="K222" s="11"/>
      <c r="L222" s="22"/>
      <c r="M222" s="22"/>
      <c r="N222" s="18"/>
      <c r="O222" s="17"/>
      <c r="P222" s="18"/>
      <c r="Q222" s="18"/>
      <c r="R222" s="18"/>
      <c r="S222" s="6"/>
      <c r="T222" s="19"/>
      <c r="U222" s="20"/>
    </row>
    <row r="223" spans="1:21" ht="14.4" customHeight="1">
      <c r="A223" s="2">
        <f>ROW()-4</f>
        <v>219</v>
      </c>
      <c r="B223" s="39" t="e">
        <f>R223/L223</f>
        <v>#DIV/0!</v>
      </c>
      <c r="C223" s="2">
        <f>IF(ISBLANK($B223),-1,IFERROR(IF($B223&gt;0.9,2,IF($B223&lt;0.3,1,0)),-1))</f>
        <v>-1</v>
      </c>
      <c r="D223" s="79"/>
      <c r="E223" s="78"/>
      <c r="F223" s="26"/>
      <c r="G223" s="27"/>
      <c r="H223" s="14"/>
      <c r="I223" s="9"/>
      <c r="J223" s="16"/>
      <c r="K223" s="11"/>
      <c r="L223" s="22"/>
      <c r="M223" s="22"/>
      <c r="N223" s="18"/>
      <c r="O223" s="17"/>
      <c r="P223" s="18"/>
      <c r="Q223" s="18"/>
      <c r="R223" s="18"/>
      <c r="S223" s="6"/>
      <c r="T223" s="19"/>
      <c r="U223" s="20"/>
    </row>
    <row r="224" spans="1:21" ht="14.4" customHeight="1">
      <c r="A224" s="2">
        <f>ROW()-4</f>
        <v>220</v>
      </c>
      <c r="B224" s="39" t="e">
        <f>R224/L224</f>
        <v>#DIV/0!</v>
      </c>
      <c r="C224" s="2">
        <f>IF(ISBLANK($B224),-1,IFERROR(IF($B224&gt;0.9,2,IF($B224&lt;0.3,1,0)),-1))</f>
        <v>-1</v>
      </c>
      <c r="D224" s="79"/>
      <c r="E224" s="78"/>
      <c r="F224" s="26"/>
      <c r="G224" s="27"/>
      <c r="H224" s="14"/>
      <c r="I224" s="9"/>
      <c r="J224" s="16"/>
      <c r="K224" s="11"/>
      <c r="L224" s="22"/>
      <c r="M224" s="22"/>
      <c r="N224" s="18"/>
      <c r="O224" s="17"/>
      <c r="P224" s="18"/>
      <c r="Q224" s="18"/>
      <c r="R224" s="18"/>
      <c r="S224" s="6"/>
      <c r="T224" s="19"/>
      <c r="U224" s="20"/>
    </row>
    <row r="225" spans="1:21" ht="14.4" customHeight="1">
      <c r="A225" s="2">
        <f>ROW()-4</f>
        <v>221</v>
      </c>
      <c r="B225" s="39" t="e">
        <f>R225/L225</f>
        <v>#DIV/0!</v>
      </c>
      <c r="C225" s="2">
        <f>IF(ISBLANK($B225),-1,IFERROR(IF($B225&gt;0.9,2,IF($B225&lt;0.3,1,0)),-1))</f>
        <v>-1</v>
      </c>
      <c r="D225" s="79"/>
      <c r="E225" s="78"/>
      <c r="F225" s="26"/>
      <c r="G225" s="27"/>
      <c r="H225" s="14"/>
      <c r="I225" s="9"/>
      <c r="J225" s="16"/>
      <c r="K225" s="11"/>
      <c r="L225" s="22"/>
      <c r="M225" s="22"/>
      <c r="N225" s="18"/>
      <c r="O225" s="17"/>
      <c r="P225" s="18"/>
      <c r="Q225" s="18"/>
      <c r="R225" s="18"/>
      <c r="S225" s="6"/>
      <c r="T225" s="19"/>
      <c r="U225" s="20"/>
    </row>
    <row r="226" spans="1:21" ht="14.4" customHeight="1">
      <c r="A226" s="2">
        <f>ROW()-4</f>
        <v>222</v>
      </c>
      <c r="B226" s="39" t="e">
        <f>R226/L226</f>
        <v>#DIV/0!</v>
      </c>
      <c r="C226" s="2">
        <f>IF(ISBLANK($B226),-1,IFERROR(IF($B226&gt;0.9,2,IF($B226&lt;0.3,1,0)),-1))</f>
        <v>-1</v>
      </c>
      <c r="D226" s="79"/>
      <c r="E226" s="78"/>
      <c r="F226" s="26"/>
      <c r="G226" s="27"/>
      <c r="H226" s="14"/>
      <c r="I226" s="9"/>
      <c r="J226" s="16"/>
      <c r="K226" s="11"/>
      <c r="L226" s="22"/>
      <c r="M226" s="22"/>
      <c r="N226" s="18"/>
      <c r="O226" s="17"/>
      <c r="P226" s="18"/>
      <c r="Q226" s="18"/>
      <c r="R226" s="18"/>
      <c r="S226" s="6"/>
      <c r="T226" s="19"/>
      <c r="U226" s="20"/>
    </row>
    <row r="227" spans="1:21" ht="14.4" customHeight="1">
      <c r="A227" s="2">
        <f>ROW()-4</f>
        <v>223</v>
      </c>
      <c r="B227" s="39" t="e">
        <f>R227/L227</f>
        <v>#DIV/0!</v>
      </c>
      <c r="C227" s="2">
        <f>IF(ISBLANK($B227),-1,IFERROR(IF($B227&gt;0.9,2,IF($B227&lt;0.3,1,0)),-1))</f>
        <v>-1</v>
      </c>
      <c r="D227" s="79"/>
      <c r="E227" s="78"/>
      <c r="F227" s="26"/>
      <c r="G227" s="27"/>
      <c r="H227" s="14"/>
      <c r="I227" s="9"/>
      <c r="J227" s="16"/>
      <c r="K227" s="11"/>
      <c r="L227" s="22"/>
      <c r="M227" s="22"/>
      <c r="N227" s="18"/>
      <c r="O227" s="17"/>
      <c r="P227" s="18"/>
      <c r="Q227" s="18"/>
      <c r="R227" s="18"/>
      <c r="S227" s="6"/>
      <c r="T227" s="19"/>
      <c r="U227" s="20"/>
    </row>
    <row r="228" spans="1:21" ht="14.4" customHeight="1">
      <c r="A228" s="2">
        <f>ROW()-4</f>
        <v>224</v>
      </c>
      <c r="B228" s="39" t="e">
        <f>R228/L228</f>
        <v>#DIV/0!</v>
      </c>
      <c r="C228" s="2">
        <f>IF(ISBLANK($B228),-1,IFERROR(IF($B228&gt;0.9,2,IF($B228&lt;0.3,1,0)),-1))</f>
        <v>-1</v>
      </c>
      <c r="D228" s="79"/>
      <c r="E228" s="78"/>
      <c r="F228" s="26"/>
      <c r="G228" s="27"/>
      <c r="H228" s="14"/>
      <c r="I228" s="9"/>
      <c r="J228" s="16"/>
      <c r="K228" s="11"/>
      <c r="L228" s="22"/>
      <c r="M228" s="22"/>
      <c r="N228" s="18"/>
      <c r="O228" s="17"/>
      <c r="P228" s="18"/>
      <c r="Q228" s="18"/>
      <c r="R228" s="18"/>
      <c r="S228" s="6"/>
      <c r="T228" s="19"/>
      <c r="U228" s="20"/>
    </row>
    <row r="229" spans="1:21" ht="14.4" customHeight="1">
      <c r="A229" s="2">
        <f>ROW()-4</f>
        <v>225</v>
      </c>
      <c r="B229" s="39" t="e">
        <f>R229/L229</f>
        <v>#DIV/0!</v>
      </c>
      <c r="C229" s="2">
        <f>IF(ISBLANK($B229),-1,IFERROR(IF($B229&gt;0.9,2,IF($B229&lt;0.3,1,0)),-1))</f>
        <v>-1</v>
      </c>
      <c r="D229" s="79"/>
      <c r="E229" s="78"/>
      <c r="F229" s="26"/>
      <c r="G229" s="27"/>
      <c r="H229" s="14"/>
      <c r="I229" s="9"/>
      <c r="J229" s="16"/>
      <c r="K229" s="11"/>
      <c r="L229" s="22"/>
      <c r="M229" s="22"/>
      <c r="N229" s="18"/>
      <c r="O229" s="17"/>
      <c r="P229" s="18"/>
      <c r="Q229" s="18"/>
      <c r="R229" s="18"/>
      <c r="S229" s="6"/>
      <c r="T229" s="19"/>
      <c r="U229" s="20"/>
    </row>
    <row r="230" spans="1:21" ht="14.4" customHeight="1">
      <c r="A230" s="2">
        <f>ROW()-4</f>
        <v>226</v>
      </c>
      <c r="B230" s="39" t="e">
        <f>R230/L230</f>
        <v>#DIV/0!</v>
      </c>
      <c r="C230" s="2">
        <f>IF(ISBLANK($B230),-1,IFERROR(IF($B230&gt;0.9,2,IF($B230&lt;0.3,1,0)),-1))</f>
        <v>-1</v>
      </c>
      <c r="D230" s="79"/>
      <c r="E230" s="78"/>
      <c r="F230" s="26"/>
      <c r="G230" s="27"/>
      <c r="H230" s="14"/>
      <c r="I230" s="9"/>
      <c r="J230" s="16"/>
      <c r="K230" s="11"/>
      <c r="L230" s="22"/>
      <c r="M230" s="22"/>
      <c r="N230" s="18"/>
      <c r="O230" s="17"/>
      <c r="P230" s="18"/>
      <c r="Q230" s="18"/>
      <c r="R230" s="18"/>
      <c r="S230" s="6"/>
      <c r="T230" s="19"/>
      <c r="U230" s="20"/>
    </row>
    <row r="231" spans="1:21" ht="14.4" customHeight="1">
      <c r="A231" s="2">
        <f>ROW()-4</f>
        <v>227</v>
      </c>
      <c r="B231" s="39" t="e">
        <f>R231/L231</f>
        <v>#DIV/0!</v>
      </c>
      <c r="C231" s="2">
        <f>IF(ISBLANK($B231),-1,IFERROR(IF($B231&gt;0.9,2,IF($B231&lt;0.3,1,0)),-1))</f>
        <v>-1</v>
      </c>
      <c r="D231" s="79"/>
      <c r="E231" s="78"/>
      <c r="F231" s="26"/>
      <c r="G231" s="27"/>
      <c r="H231" s="14"/>
      <c r="I231" s="9"/>
      <c r="J231" s="16"/>
      <c r="K231" s="11"/>
      <c r="L231" s="22"/>
      <c r="M231" s="22"/>
      <c r="N231" s="18"/>
      <c r="O231" s="17"/>
      <c r="P231" s="18"/>
      <c r="Q231" s="18"/>
      <c r="R231" s="18"/>
      <c r="S231" s="6"/>
      <c r="T231" s="19"/>
      <c r="U231" s="20"/>
    </row>
    <row r="232" spans="1:21" ht="14.4" customHeight="1">
      <c r="A232" s="2">
        <f>ROW()-4</f>
        <v>228</v>
      </c>
      <c r="B232" s="39" t="e">
        <f>R232/L232</f>
        <v>#DIV/0!</v>
      </c>
      <c r="C232" s="2">
        <f>IF(ISBLANK($B232),-1,IFERROR(IF($B232&gt;0.9,2,IF($B232&lt;0.3,1,0)),-1))</f>
        <v>-1</v>
      </c>
      <c r="D232" s="79"/>
      <c r="E232" s="78"/>
      <c r="F232" s="26"/>
      <c r="G232" s="27"/>
      <c r="H232" s="14"/>
      <c r="I232" s="9"/>
      <c r="J232" s="16"/>
      <c r="K232" s="11"/>
      <c r="L232" s="22"/>
      <c r="M232" s="22"/>
      <c r="N232" s="18"/>
      <c r="O232" s="17"/>
      <c r="P232" s="18"/>
      <c r="Q232" s="18"/>
      <c r="R232" s="18"/>
      <c r="S232" s="6"/>
      <c r="T232" s="19"/>
      <c r="U232" s="20"/>
    </row>
    <row r="233" spans="1:21" ht="14.4" customHeight="1">
      <c r="A233" s="2">
        <f>ROW()-4</f>
        <v>229</v>
      </c>
      <c r="B233" s="39" t="e">
        <f>R233/L233</f>
        <v>#DIV/0!</v>
      </c>
      <c r="C233" s="2">
        <f>IF(ISBLANK($B233),-1,IFERROR(IF($B233&gt;0.9,2,IF($B233&lt;0.3,1,0)),-1))</f>
        <v>-1</v>
      </c>
      <c r="D233" s="79"/>
      <c r="E233" s="78"/>
      <c r="F233" s="26"/>
      <c r="G233" s="27"/>
      <c r="H233" s="14"/>
      <c r="I233" s="9"/>
      <c r="J233" s="16"/>
      <c r="K233" s="11"/>
      <c r="L233" s="22"/>
      <c r="M233" s="22"/>
      <c r="N233" s="18"/>
      <c r="O233" s="17"/>
      <c r="P233" s="18"/>
      <c r="Q233" s="18"/>
      <c r="R233" s="18"/>
      <c r="S233" s="6"/>
      <c r="T233" s="19"/>
      <c r="U233" s="20"/>
    </row>
    <row r="234" spans="1:21" ht="14.4" customHeight="1">
      <c r="A234" s="2">
        <f>ROW()-4</f>
        <v>230</v>
      </c>
      <c r="B234" s="39" t="e">
        <f>R234/L234</f>
        <v>#DIV/0!</v>
      </c>
      <c r="C234" s="2">
        <f>IF(ISBLANK($B234),-1,IFERROR(IF($B234&gt;0.9,2,IF($B234&lt;0.3,1,0)),-1))</f>
        <v>-1</v>
      </c>
      <c r="D234" s="79"/>
      <c r="E234" s="78"/>
      <c r="F234" s="26"/>
      <c r="G234" s="27"/>
      <c r="H234" s="14"/>
      <c r="I234" s="9"/>
      <c r="J234" s="16"/>
      <c r="K234" s="11"/>
      <c r="L234" s="22"/>
      <c r="M234" s="22"/>
      <c r="N234" s="18"/>
      <c r="O234" s="17"/>
      <c r="P234" s="18"/>
      <c r="Q234" s="18"/>
      <c r="R234" s="18"/>
      <c r="S234" s="6"/>
      <c r="T234" s="19"/>
      <c r="U234" s="20"/>
    </row>
    <row r="235" spans="1:21" ht="14.4" customHeight="1">
      <c r="A235" s="2">
        <f>ROW()-4</f>
        <v>231</v>
      </c>
      <c r="B235" s="39" t="e">
        <f>R235/L235</f>
        <v>#DIV/0!</v>
      </c>
      <c r="C235" s="2">
        <f>IF(ISBLANK($B235),-1,IFERROR(IF($B235&gt;0.9,2,IF($B235&lt;0.3,1,0)),-1))</f>
        <v>-1</v>
      </c>
      <c r="D235" s="79"/>
      <c r="E235" s="78"/>
      <c r="F235" s="26"/>
      <c r="G235" s="27"/>
      <c r="H235" s="14"/>
      <c r="I235" s="9"/>
      <c r="J235" s="16"/>
      <c r="K235" s="11"/>
      <c r="L235" s="22"/>
      <c r="M235" s="22"/>
      <c r="N235" s="18"/>
      <c r="O235" s="17"/>
      <c r="P235" s="18"/>
      <c r="Q235" s="18"/>
      <c r="R235" s="18"/>
      <c r="S235" s="6"/>
      <c r="T235" s="19"/>
      <c r="U235" s="20"/>
    </row>
    <row r="236" spans="1:21" ht="14.4" customHeight="1">
      <c r="A236" s="2">
        <f>ROW()-4</f>
        <v>232</v>
      </c>
      <c r="B236" s="39" t="e">
        <f>R236/L236</f>
        <v>#DIV/0!</v>
      </c>
      <c r="C236" s="2">
        <f>IF(ISBLANK($B236),-1,IFERROR(IF($B236&gt;0.9,2,IF($B236&lt;0.3,1,0)),-1))</f>
        <v>-1</v>
      </c>
      <c r="D236" s="79"/>
      <c r="E236" s="78"/>
      <c r="F236" s="26"/>
      <c r="G236" s="27"/>
      <c r="H236" s="14"/>
      <c r="I236" s="9"/>
      <c r="J236" s="16"/>
      <c r="K236" s="11"/>
      <c r="L236" s="22"/>
      <c r="M236" s="22"/>
      <c r="N236" s="18"/>
      <c r="O236" s="17"/>
      <c r="P236" s="18"/>
      <c r="Q236" s="18"/>
      <c r="R236" s="18"/>
      <c r="S236" s="6"/>
      <c r="T236" s="19"/>
      <c r="U236" s="20"/>
    </row>
    <row r="237" spans="1:21" ht="14.4" customHeight="1">
      <c r="A237" s="2">
        <f>ROW()-4</f>
        <v>233</v>
      </c>
      <c r="B237" s="39" t="e">
        <f>R237/L237</f>
        <v>#DIV/0!</v>
      </c>
      <c r="C237" s="2">
        <f>IF(ISBLANK($B237),-1,IFERROR(IF($B237&gt;0.9,2,IF($B237&lt;0.3,1,0)),-1))</f>
        <v>-1</v>
      </c>
      <c r="D237" s="79"/>
      <c r="E237" s="78"/>
      <c r="F237" s="26"/>
      <c r="G237" s="27"/>
      <c r="H237" s="14"/>
      <c r="I237" s="9"/>
      <c r="J237" s="16"/>
      <c r="K237" s="11"/>
      <c r="L237" s="22"/>
      <c r="M237" s="22"/>
      <c r="N237" s="18"/>
      <c r="O237" s="17"/>
      <c r="P237" s="18"/>
      <c r="Q237" s="18"/>
      <c r="R237" s="18"/>
      <c r="S237" s="6"/>
      <c r="T237" s="19"/>
      <c r="U237" s="20"/>
    </row>
    <row r="238" spans="1:21" ht="14.4" customHeight="1">
      <c r="A238" s="2">
        <f>ROW()-4</f>
        <v>234</v>
      </c>
      <c r="B238" s="39" t="e">
        <f>R238/L238</f>
        <v>#DIV/0!</v>
      </c>
      <c r="C238" s="2">
        <f>IF(ISBLANK($B238),-1,IFERROR(IF($B238&gt;0.9,2,IF($B238&lt;0.3,1,0)),-1))</f>
        <v>-1</v>
      </c>
      <c r="D238" s="79"/>
      <c r="E238" s="78"/>
      <c r="F238" s="26"/>
      <c r="G238" s="27"/>
      <c r="H238" s="14"/>
      <c r="I238" s="9"/>
      <c r="J238" s="16"/>
      <c r="K238" s="11"/>
      <c r="L238" s="22"/>
      <c r="M238" s="22"/>
      <c r="N238" s="18"/>
      <c r="O238" s="17"/>
      <c r="P238" s="18"/>
      <c r="Q238" s="18"/>
      <c r="R238" s="18"/>
      <c r="S238" s="6"/>
      <c r="T238" s="19"/>
      <c r="U238" s="20"/>
    </row>
    <row r="239" spans="1:21" ht="14.4" customHeight="1">
      <c r="A239" s="2">
        <f>ROW()-4</f>
        <v>235</v>
      </c>
      <c r="B239" s="39" t="e">
        <f>R239/L239</f>
        <v>#DIV/0!</v>
      </c>
      <c r="C239" s="2">
        <f>IF(ISBLANK($B239),-1,IFERROR(IF($B239&gt;0.9,2,IF($B239&lt;0.3,1,0)),-1))</f>
        <v>-1</v>
      </c>
      <c r="D239" s="79"/>
      <c r="E239" s="78"/>
      <c r="F239" s="26"/>
      <c r="G239" s="27"/>
      <c r="H239" s="14"/>
      <c r="I239" s="9"/>
      <c r="J239" s="16"/>
      <c r="K239" s="11"/>
      <c r="L239" s="22"/>
      <c r="M239" s="22"/>
      <c r="N239" s="18"/>
      <c r="O239" s="17"/>
      <c r="P239" s="18"/>
      <c r="Q239" s="18"/>
      <c r="R239" s="18"/>
      <c r="S239" s="6"/>
      <c r="T239" s="19"/>
      <c r="U239" s="20"/>
    </row>
    <row r="240" spans="1:21" ht="14.4" customHeight="1">
      <c r="A240" s="2">
        <f>ROW()-4</f>
        <v>236</v>
      </c>
      <c r="B240" s="39" t="e">
        <f>R240/L240</f>
        <v>#DIV/0!</v>
      </c>
      <c r="C240" s="2">
        <f>IF(ISBLANK($B240),-1,IFERROR(IF($B240&gt;0.9,2,IF($B240&lt;0.3,1,0)),-1))</f>
        <v>-1</v>
      </c>
      <c r="D240" s="79"/>
      <c r="E240" s="78"/>
      <c r="F240" s="26"/>
      <c r="G240" s="27"/>
      <c r="H240" s="14"/>
      <c r="I240" s="9"/>
      <c r="J240" s="16"/>
      <c r="K240" s="11"/>
      <c r="L240" s="22"/>
      <c r="M240" s="22"/>
      <c r="N240" s="18"/>
      <c r="O240" s="17"/>
      <c r="P240" s="18"/>
      <c r="Q240" s="18"/>
      <c r="R240" s="18"/>
      <c r="S240" s="6"/>
      <c r="T240" s="19"/>
      <c r="U240" s="20"/>
    </row>
    <row r="241" spans="1:22" ht="14.4" customHeight="1">
      <c r="A241" s="2">
        <f>ROW()-4</f>
        <v>237</v>
      </c>
      <c r="B241" s="39" t="e">
        <f>R241/L241</f>
        <v>#DIV/0!</v>
      </c>
      <c r="C241" s="2">
        <f>IF(ISBLANK($B241),-1,IFERROR(IF($B241&gt;0.9,2,IF($B241&lt;0.3,1,0)),-1))</f>
        <v>-1</v>
      </c>
      <c r="D241" s="79"/>
      <c r="E241" s="78"/>
      <c r="F241" s="26"/>
      <c r="G241" s="27"/>
      <c r="H241" s="14"/>
      <c r="I241" s="9"/>
      <c r="J241" s="16"/>
      <c r="K241" s="11"/>
      <c r="L241" s="22"/>
      <c r="M241" s="22"/>
      <c r="N241" s="18"/>
      <c r="O241" s="17"/>
      <c r="P241" s="18"/>
      <c r="Q241" s="18"/>
      <c r="R241" s="18"/>
      <c r="S241" s="6"/>
      <c r="T241" s="19"/>
      <c r="U241" s="20"/>
    </row>
    <row r="242" spans="1:22" ht="14.4" customHeight="1">
      <c r="A242" s="2">
        <f>ROW()-4</f>
        <v>238</v>
      </c>
      <c r="B242" s="39" t="e">
        <f>R242/L242</f>
        <v>#DIV/0!</v>
      </c>
      <c r="C242" s="2">
        <f>IF(ISBLANK($B242),-1,IFERROR(IF($B242&gt;0.9,2,IF($B242&lt;0.3,1,0)),-1))</f>
        <v>-1</v>
      </c>
      <c r="D242" s="79"/>
      <c r="E242" s="78"/>
      <c r="F242" s="26"/>
      <c r="G242" s="27"/>
      <c r="H242" s="14"/>
      <c r="I242" s="9"/>
      <c r="J242" s="16"/>
      <c r="K242" s="11"/>
      <c r="L242" s="22"/>
      <c r="M242" s="22"/>
      <c r="N242" s="18"/>
      <c r="O242" s="17"/>
      <c r="P242" s="18"/>
      <c r="Q242" s="18"/>
      <c r="R242" s="18"/>
      <c r="S242" s="6"/>
      <c r="T242" s="19"/>
      <c r="U242" s="20"/>
    </row>
    <row r="243" spans="1:22" ht="14.4" customHeight="1">
      <c r="A243" s="2">
        <f>ROW()-4</f>
        <v>239</v>
      </c>
      <c r="B243" s="39" t="e">
        <f>R243/L243</f>
        <v>#DIV/0!</v>
      </c>
      <c r="C243" s="2">
        <f>IF(ISBLANK($B243),-1,IFERROR(IF($B243&gt;0.9,2,IF($B243&lt;0.3,1,0)),-1))</f>
        <v>-1</v>
      </c>
      <c r="D243" s="79"/>
      <c r="E243" s="78"/>
      <c r="F243" s="26"/>
      <c r="G243" s="27"/>
      <c r="H243" s="14"/>
      <c r="I243" s="9"/>
      <c r="J243" s="16"/>
      <c r="K243" s="11"/>
      <c r="L243" s="22"/>
      <c r="M243" s="22"/>
      <c r="N243" s="18"/>
      <c r="O243" s="17"/>
      <c r="P243" s="18"/>
      <c r="Q243" s="18"/>
      <c r="R243" s="18"/>
      <c r="S243" s="6"/>
      <c r="T243" s="19"/>
      <c r="U243" s="20"/>
    </row>
    <row r="244" spans="1:22" ht="14.4" customHeight="1">
      <c r="A244" s="2">
        <f>ROW()-4</f>
        <v>240</v>
      </c>
      <c r="B244" s="39" t="e">
        <f>R244/L244</f>
        <v>#DIV/0!</v>
      </c>
      <c r="C244" s="2">
        <f>IF(ISBLANK($B244),-1,IFERROR(IF($B244&gt;0.9,2,IF($B244&lt;0.3,1,0)),-1))</f>
        <v>-1</v>
      </c>
      <c r="D244" s="79"/>
      <c r="E244" s="78"/>
      <c r="F244" s="26"/>
      <c r="G244" s="27"/>
      <c r="H244" s="14"/>
      <c r="I244" s="9"/>
      <c r="J244" s="16"/>
      <c r="K244" s="11"/>
      <c r="L244" s="22"/>
      <c r="M244" s="22"/>
      <c r="N244" s="18"/>
      <c r="O244" s="17"/>
      <c r="P244" s="18"/>
      <c r="Q244" s="18"/>
      <c r="R244" s="18"/>
      <c r="S244" s="6"/>
      <c r="T244" s="19"/>
      <c r="U244" s="20"/>
    </row>
    <row r="245" spans="1:22" ht="14.4" customHeight="1">
      <c r="A245" s="2">
        <f>ROW()-4</f>
        <v>241</v>
      </c>
      <c r="B245" s="39" t="e">
        <f>R245/L245</f>
        <v>#DIV/0!</v>
      </c>
      <c r="C245" s="2">
        <f>IF(ISBLANK($B245),-1,IFERROR(IF($B245&gt;0.9,2,IF($B245&lt;0.3,1,0)),-1))</f>
        <v>-1</v>
      </c>
      <c r="D245" s="79"/>
      <c r="E245" s="78"/>
      <c r="F245" s="26"/>
      <c r="G245" s="27"/>
      <c r="H245" s="14"/>
      <c r="I245" s="9"/>
      <c r="J245" s="16"/>
      <c r="K245" s="11"/>
      <c r="L245" s="22"/>
      <c r="M245" s="22"/>
      <c r="N245" s="18"/>
      <c r="O245" s="17"/>
      <c r="P245" s="18"/>
      <c r="Q245" s="18"/>
      <c r="R245" s="18"/>
      <c r="S245" s="6"/>
      <c r="T245" s="19"/>
      <c r="U245" s="20"/>
    </row>
    <row r="246" spans="1:22" ht="14.4" customHeight="1">
      <c r="A246" s="2">
        <f>ROW()-4</f>
        <v>242</v>
      </c>
      <c r="B246" s="39" t="e">
        <f>R246/L246</f>
        <v>#DIV/0!</v>
      </c>
      <c r="C246" s="2">
        <f>IF(ISBLANK($B246),-1,IFERROR(IF($B246&gt;0.9,2,IF($B246&lt;0.3,1,0)),-1))</f>
        <v>-1</v>
      </c>
      <c r="D246" s="79"/>
      <c r="E246" s="78"/>
      <c r="F246" s="26"/>
      <c r="G246" s="27"/>
      <c r="H246" s="14"/>
      <c r="I246" s="9"/>
      <c r="J246" s="16"/>
      <c r="K246" s="11"/>
      <c r="L246" s="22"/>
      <c r="M246" s="22"/>
      <c r="N246" s="18"/>
      <c r="O246" s="17"/>
      <c r="P246" s="18"/>
      <c r="Q246" s="18"/>
      <c r="R246" s="18"/>
      <c r="S246" s="6"/>
      <c r="T246" s="19"/>
      <c r="U246" s="20"/>
    </row>
    <row r="247" spans="1:22" ht="14.4" customHeight="1">
      <c r="A247" s="2">
        <f>ROW()-4</f>
        <v>243</v>
      </c>
      <c r="B247" s="39" t="e">
        <f>R247/L247</f>
        <v>#DIV/0!</v>
      </c>
      <c r="C247" s="2">
        <f>IF(ISBLANK($B247),-1,IFERROR(IF($B247&gt;0.9,2,IF($B247&lt;0.3,1,0)),-1))</f>
        <v>-1</v>
      </c>
      <c r="D247" s="79"/>
      <c r="E247" s="78"/>
      <c r="F247" s="26"/>
      <c r="G247" s="27"/>
      <c r="H247" s="14"/>
      <c r="I247" s="9"/>
      <c r="J247" s="16"/>
      <c r="K247" s="11"/>
      <c r="L247" s="22"/>
      <c r="M247" s="22"/>
      <c r="N247" s="18"/>
      <c r="O247" s="17"/>
      <c r="P247" s="18"/>
      <c r="Q247" s="18"/>
      <c r="R247" s="18"/>
      <c r="S247" s="6"/>
      <c r="T247" s="19"/>
      <c r="U247" s="20"/>
    </row>
    <row r="248" spans="1:22" ht="14.4" customHeight="1">
      <c r="A248" s="2">
        <f>ROW()-4</f>
        <v>244</v>
      </c>
      <c r="B248" s="39" t="e">
        <f>R248/L248</f>
        <v>#DIV/0!</v>
      </c>
      <c r="C248" s="2">
        <f>IF(ISBLANK($B248),-1,IFERROR(IF($B248&gt;0.9,2,IF($B248&lt;0.3,1,0)),-1))</f>
        <v>-1</v>
      </c>
      <c r="D248" s="79"/>
      <c r="E248" s="78"/>
      <c r="F248" s="26"/>
      <c r="G248" s="27"/>
      <c r="H248" s="14"/>
      <c r="I248" s="9"/>
      <c r="J248" s="16"/>
      <c r="K248" s="11"/>
      <c r="L248" s="22"/>
      <c r="M248" s="22"/>
      <c r="N248" s="18"/>
      <c r="O248" s="17"/>
      <c r="P248" s="18"/>
      <c r="Q248" s="18"/>
      <c r="R248" s="18"/>
      <c r="S248" s="6"/>
      <c r="T248" s="19"/>
      <c r="U248" s="20"/>
    </row>
    <row r="249" spans="1:22" ht="14.4" customHeight="1">
      <c r="A249" s="2">
        <f>ROW()-4</f>
        <v>245</v>
      </c>
      <c r="B249" s="39" t="e">
        <f>R249/L249</f>
        <v>#DIV/0!</v>
      </c>
      <c r="C249" s="2">
        <f>IF(ISBLANK($B249),-1,IFERROR(IF($B249&gt;0.9,2,IF($B249&lt;0.3,1,0)),-1))</f>
        <v>-1</v>
      </c>
      <c r="D249" s="79"/>
      <c r="E249" s="40"/>
      <c r="F249" s="41"/>
      <c r="G249" s="42"/>
      <c r="H249" s="43"/>
      <c r="I249" s="10"/>
      <c r="J249" s="44"/>
      <c r="K249" s="45"/>
      <c r="L249" s="46"/>
      <c r="M249" s="46"/>
      <c r="N249" s="47"/>
      <c r="O249" s="48"/>
      <c r="P249" s="47"/>
      <c r="Q249" s="47"/>
      <c r="R249" s="47"/>
      <c r="S249" s="3"/>
      <c r="T249" s="49"/>
      <c r="U249" s="50"/>
    </row>
    <row r="250" spans="1:22" ht="14.4" customHeight="1">
      <c r="A250" s="2">
        <f>ROW()-4</f>
        <v>246</v>
      </c>
      <c r="B250" s="39" t="e">
        <f>R250/L250</f>
        <v>#DIV/0!</v>
      </c>
      <c r="C250" s="2">
        <f>IF(ISBLANK($B250),-1,IFERROR(IF($B250&gt;0.9,2,IF($B250&lt;0.3,1,0)),-1))</f>
        <v>-1</v>
      </c>
      <c r="D250" s="79"/>
      <c r="E250" s="78"/>
      <c r="F250" s="26"/>
      <c r="G250" s="27"/>
      <c r="H250" s="14"/>
      <c r="I250" s="9"/>
      <c r="J250" s="16"/>
      <c r="K250" s="11"/>
      <c r="L250" s="22"/>
      <c r="M250" s="22"/>
      <c r="N250" s="18"/>
      <c r="O250" s="17"/>
      <c r="P250" s="18"/>
      <c r="Q250" s="18"/>
      <c r="R250" s="18"/>
      <c r="S250" s="3"/>
      <c r="T250" s="49"/>
      <c r="U250" s="50"/>
      <c r="V250" s="21"/>
    </row>
    <row r="251" spans="1:22" ht="14.4" customHeight="1">
      <c r="A251" s="2">
        <f>ROW()-4</f>
        <v>247</v>
      </c>
      <c r="B251" s="39" t="e">
        <f>R251/L251</f>
        <v>#DIV/0!</v>
      </c>
      <c r="C251" s="2">
        <f>IF(ISBLANK($B251),-1,IFERROR(IF($B251&gt;0.9,2,IF($B251&lt;0.3,1,0)),-1))</f>
        <v>-1</v>
      </c>
      <c r="D251" s="2"/>
      <c r="E251" s="40"/>
      <c r="F251" s="41"/>
      <c r="G251" s="42"/>
      <c r="H251" s="43"/>
      <c r="I251" s="10"/>
      <c r="J251" s="44"/>
      <c r="K251" s="45"/>
      <c r="L251" s="46"/>
      <c r="M251" s="46"/>
      <c r="N251" s="47"/>
      <c r="O251" s="48"/>
      <c r="P251" s="47"/>
      <c r="Q251" s="47"/>
      <c r="R251" s="47"/>
      <c r="S251" s="3"/>
      <c r="T251" s="49"/>
      <c r="U251" s="50"/>
      <c r="V251" s="21"/>
    </row>
    <row r="252" spans="1:22" ht="14.4" customHeight="1">
      <c r="A252" s="2">
        <f>ROW()-4</f>
        <v>248</v>
      </c>
      <c r="B252" s="39" t="e">
        <f>R252/L252</f>
        <v>#DIV/0!</v>
      </c>
      <c r="C252" s="2">
        <f>IF(ISBLANK($B252),-1,IFERROR(IF($B252&gt;0.9,2,IF($B252&lt;0.3,1,0)),-1))</f>
        <v>-1</v>
      </c>
      <c r="D252" s="2"/>
      <c r="E252" s="40"/>
      <c r="F252" s="41"/>
      <c r="G252" s="42"/>
      <c r="H252" s="43"/>
      <c r="I252" s="10"/>
      <c r="J252" s="44"/>
      <c r="K252" s="45"/>
      <c r="L252" s="46"/>
      <c r="M252" s="46"/>
      <c r="N252" s="47"/>
      <c r="O252" s="48"/>
      <c r="P252" s="47"/>
      <c r="Q252" s="47"/>
      <c r="R252" s="47"/>
      <c r="S252" s="3"/>
      <c r="T252" s="49"/>
      <c r="U252" s="50"/>
      <c r="V252" s="21"/>
    </row>
    <row r="253" spans="1:22" ht="14.4" customHeight="1">
      <c r="A253" s="2">
        <f>ROW()-4</f>
        <v>249</v>
      </c>
      <c r="B253" s="39" t="e">
        <f>R253/L253</f>
        <v>#DIV/0!</v>
      </c>
      <c r="C253" s="2">
        <f>IF(ISBLANK($B253),-1,IFERROR(IF($B253&gt;0.9,2,IF($B253&lt;0.3,1,0)),-1))</f>
        <v>-1</v>
      </c>
      <c r="D253" s="2"/>
      <c r="E253" s="40"/>
      <c r="F253" s="41"/>
      <c r="G253" s="42"/>
      <c r="H253" s="43"/>
      <c r="I253" s="10"/>
      <c r="J253" s="44"/>
      <c r="K253" s="45"/>
      <c r="L253" s="46"/>
      <c r="M253" s="46"/>
      <c r="N253" s="47"/>
      <c r="O253" s="48"/>
      <c r="P253" s="47"/>
      <c r="Q253" s="47"/>
      <c r="R253" s="47"/>
      <c r="S253" s="3"/>
      <c r="T253" s="49"/>
      <c r="U253" s="50"/>
      <c r="V253" s="21"/>
    </row>
    <row r="254" spans="1:22" ht="14.4" customHeight="1">
      <c r="A254" s="2">
        <f>ROW()-4</f>
        <v>250</v>
      </c>
      <c r="B254" s="39" t="e">
        <f>R254/L254</f>
        <v>#DIV/0!</v>
      </c>
      <c r="C254" s="2">
        <f>IF(ISBLANK($B254),-1,IFERROR(IF($B254&gt;0.9,2,IF($B254&lt;0.3,1,0)),-1))</f>
        <v>-1</v>
      </c>
      <c r="D254" s="2"/>
      <c r="E254" s="40"/>
      <c r="F254" s="41"/>
      <c r="G254" s="42"/>
      <c r="H254" s="43"/>
      <c r="I254" s="10"/>
      <c r="J254" s="44"/>
      <c r="K254" s="45"/>
      <c r="L254" s="46"/>
      <c r="M254" s="46"/>
      <c r="N254" s="47"/>
      <c r="O254" s="48"/>
      <c r="P254" s="47"/>
      <c r="Q254" s="47"/>
      <c r="R254" s="47"/>
      <c r="S254" s="3"/>
      <c r="T254" s="49"/>
      <c r="U254" s="50"/>
      <c r="V254" s="21"/>
    </row>
    <row r="255" spans="1:22" ht="14.4" customHeight="1">
      <c r="A255" s="2">
        <f>ROW()-4</f>
        <v>251</v>
      </c>
      <c r="B255" s="39" t="e">
        <f>R255/L255</f>
        <v>#DIV/0!</v>
      </c>
      <c r="C255" s="2">
        <f>IF(ISBLANK($B255),-1,IFERROR(IF($B255&gt;0.9,2,IF($B255&lt;0.3,1,0)),-1))</f>
        <v>-1</v>
      </c>
      <c r="D255" s="2"/>
      <c r="E255" s="40"/>
      <c r="F255" s="41"/>
      <c r="G255" s="42"/>
      <c r="H255" s="43"/>
      <c r="I255" s="10"/>
      <c r="J255" s="44"/>
      <c r="K255" s="45"/>
      <c r="L255" s="46"/>
      <c r="M255" s="46"/>
      <c r="N255" s="47"/>
      <c r="O255" s="48"/>
      <c r="P255" s="47"/>
      <c r="Q255" s="47"/>
      <c r="R255" s="47"/>
      <c r="S255" s="3"/>
      <c r="T255" s="49"/>
      <c r="U255" s="50"/>
      <c r="V255" s="21"/>
    </row>
    <row r="256" spans="1:22" ht="14.4" customHeight="1">
      <c r="A256" s="2">
        <f>ROW()-4</f>
        <v>252</v>
      </c>
      <c r="B256" s="39" t="e">
        <f>R256/L256</f>
        <v>#DIV/0!</v>
      </c>
      <c r="C256" s="2">
        <f>IF(ISBLANK($B256),-1,IFERROR(IF($B256&gt;0.9,2,IF($B256&lt;0.3,1,0)),-1))</f>
        <v>-1</v>
      </c>
      <c r="D256" s="2"/>
      <c r="E256" s="40"/>
      <c r="F256" s="41"/>
      <c r="G256" s="42"/>
      <c r="H256" s="43"/>
      <c r="I256" s="10"/>
      <c r="J256" s="44"/>
      <c r="K256" s="45"/>
      <c r="L256" s="46"/>
      <c r="M256" s="46"/>
      <c r="N256" s="47"/>
      <c r="O256" s="48"/>
      <c r="P256" s="47"/>
      <c r="Q256" s="47"/>
      <c r="R256" s="47"/>
      <c r="S256" s="3"/>
      <c r="T256" s="49"/>
      <c r="U256" s="50"/>
      <c r="V256" s="21"/>
    </row>
    <row r="257" spans="1:22" ht="14.4" customHeight="1">
      <c r="A257" s="2">
        <f>ROW()-4</f>
        <v>253</v>
      </c>
      <c r="B257" s="39" t="e">
        <f>R257/L257</f>
        <v>#DIV/0!</v>
      </c>
      <c r="C257" s="2">
        <f>IF(ISBLANK($B257),-1,IFERROR(IF($B257&gt;0.9,2,IF($B257&lt;0.3,1,0)),-1))</f>
        <v>-1</v>
      </c>
      <c r="D257" s="2"/>
      <c r="E257" s="40"/>
      <c r="F257" s="41"/>
      <c r="G257" s="42"/>
      <c r="H257" s="43"/>
      <c r="I257" s="10"/>
      <c r="J257" s="44"/>
      <c r="K257" s="45"/>
      <c r="L257" s="46"/>
      <c r="M257" s="46"/>
      <c r="N257" s="47"/>
      <c r="O257" s="48"/>
      <c r="P257" s="47"/>
      <c r="Q257" s="47"/>
      <c r="R257" s="47"/>
      <c r="S257" s="3"/>
      <c r="T257" s="49"/>
      <c r="U257" s="50"/>
      <c r="V257" s="21"/>
    </row>
    <row r="258" spans="1:22" ht="14.4" customHeight="1">
      <c r="A258" s="2">
        <f>ROW()-4</f>
        <v>254</v>
      </c>
      <c r="B258" s="39" t="e">
        <f>R258/L258</f>
        <v>#DIV/0!</v>
      </c>
      <c r="C258" s="2">
        <f>IF(ISBLANK($B258),-1,IFERROR(IF($B258&gt;0.9,2,IF($B258&lt;0.3,1,0)),-1))</f>
        <v>-1</v>
      </c>
      <c r="D258" s="2"/>
      <c r="E258" s="40"/>
      <c r="F258" s="41"/>
      <c r="G258" s="42"/>
      <c r="H258" s="43"/>
      <c r="I258" s="10"/>
      <c r="J258" s="44"/>
      <c r="K258" s="45"/>
      <c r="L258" s="46"/>
      <c r="M258" s="46"/>
      <c r="N258" s="47"/>
      <c r="O258" s="48"/>
      <c r="P258" s="47"/>
      <c r="Q258" s="47"/>
      <c r="R258" s="47"/>
      <c r="S258" s="3"/>
      <c r="T258" s="49"/>
      <c r="U258" s="50"/>
      <c r="V258" s="21"/>
    </row>
    <row r="259" spans="1:22" ht="14.4" customHeight="1">
      <c r="A259" s="2">
        <f>ROW()-4</f>
        <v>255</v>
      </c>
      <c r="B259" s="39" t="e">
        <f>R259/L259</f>
        <v>#DIV/0!</v>
      </c>
      <c r="C259" s="2">
        <f>IF(ISBLANK($B259),-1,IFERROR(IF($B259&gt;0.9,2,IF($B259&lt;0.3,1,0)),-1))</f>
        <v>-1</v>
      </c>
      <c r="D259" s="2"/>
      <c r="E259" s="40"/>
      <c r="F259" s="41"/>
      <c r="G259" s="42"/>
      <c r="H259" s="43"/>
      <c r="I259" s="10"/>
      <c r="J259" s="44"/>
      <c r="K259" s="45"/>
      <c r="L259" s="46"/>
      <c r="M259" s="46"/>
      <c r="N259" s="47"/>
      <c r="O259" s="48"/>
      <c r="P259" s="47"/>
      <c r="Q259" s="47"/>
      <c r="R259" s="47"/>
      <c r="S259" s="3"/>
      <c r="T259" s="49"/>
      <c r="U259" s="50"/>
      <c r="V259" s="21"/>
    </row>
    <row r="260" spans="1:22" ht="14.4" customHeight="1">
      <c r="A260" s="2">
        <f>ROW()-4</f>
        <v>256</v>
      </c>
      <c r="B260" s="39" t="e">
        <f>R260/L260</f>
        <v>#DIV/0!</v>
      </c>
      <c r="C260" s="2">
        <f>IF(ISBLANK($B260),-1,IFERROR(IF($B260&gt;0.9,2,IF($B260&lt;0.3,1,0)),-1))</f>
        <v>-1</v>
      </c>
      <c r="D260" s="2"/>
      <c r="E260" s="40"/>
      <c r="F260" s="41"/>
      <c r="G260" s="42"/>
      <c r="H260" s="43"/>
      <c r="I260" s="10"/>
      <c r="J260" s="44"/>
      <c r="K260" s="45"/>
      <c r="L260" s="46"/>
      <c r="M260" s="46"/>
      <c r="N260" s="47"/>
      <c r="O260" s="48"/>
      <c r="P260" s="47"/>
      <c r="Q260" s="47"/>
      <c r="R260" s="47"/>
      <c r="S260" s="3"/>
      <c r="T260" s="49"/>
      <c r="U260" s="50"/>
      <c r="V260" s="21"/>
    </row>
    <row r="261" spans="1:22" ht="14.4" customHeight="1">
      <c r="A261" s="2">
        <f>ROW()-4</f>
        <v>257</v>
      </c>
      <c r="B261" s="39" t="e">
        <f>R261/L261</f>
        <v>#DIV/0!</v>
      </c>
      <c r="C261" s="2">
        <f>IF(ISBLANK($B261),-1,IFERROR(IF($B261&gt;0.9,2,IF($B261&lt;0.3,1,0)),-1))</f>
        <v>-1</v>
      </c>
      <c r="D261" s="2"/>
      <c r="E261" s="40"/>
      <c r="F261" s="41"/>
      <c r="G261" s="42"/>
      <c r="H261" s="43"/>
      <c r="I261" s="10"/>
      <c r="J261" s="44"/>
      <c r="K261" s="45"/>
      <c r="L261" s="46"/>
      <c r="M261" s="46"/>
      <c r="N261" s="47"/>
      <c r="O261" s="48"/>
      <c r="P261" s="47"/>
      <c r="Q261" s="47"/>
      <c r="R261" s="47"/>
      <c r="S261" s="3"/>
      <c r="T261" s="49"/>
      <c r="U261" s="50"/>
      <c r="V261" s="21"/>
    </row>
    <row r="262" spans="1:22" ht="14.4" customHeight="1">
      <c r="A262" s="2">
        <f>ROW()-4</f>
        <v>258</v>
      </c>
      <c r="B262" s="39" t="e">
        <f>R262/L262</f>
        <v>#DIV/0!</v>
      </c>
      <c r="C262" s="2">
        <f>IF(ISBLANK($B262),-1,IFERROR(IF($B262&gt;0.9,2,IF($B262&lt;0.3,1,0)),-1))</f>
        <v>-1</v>
      </c>
      <c r="D262" s="2"/>
      <c r="E262" s="40"/>
      <c r="F262" s="41"/>
      <c r="G262" s="42"/>
      <c r="H262" s="43"/>
      <c r="I262" s="10"/>
      <c r="J262" s="44"/>
      <c r="K262" s="45"/>
      <c r="L262" s="46"/>
      <c r="M262" s="46"/>
      <c r="N262" s="47"/>
      <c r="O262" s="48"/>
      <c r="P262" s="47"/>
      <c r="Q262" s="47"/>
      <c r="R262" s="47"/>
      <c r="S262" s="3"/>
      <c r="T262" s="49"/>
      <c r="U262" s="50"/>
      <c r="V262" s="21"/>
    </row>
    <row r="263" spans="1:22" ht="14.4" customHeight="1">
      <c r="A263" s="2">
        <f>ROW()-4</f>
        <v>259</v>
      </c>
      <c r="B263" s="39" t="e">
        <f>R263/L263</f>
        <v>#DIV/0!</v>
      </c>
      <c r="C263" s="2">
        <f>IF(ISBLANK($B263),-1,IFERROR(IF($B263&gt;0.9,2,IF($B263&lt;0.3,1,0)),-1))</f>
        <v>-1</v>
      </c>
      <c r="D263" s="2"/>
      <c r="E263" s="40"/>
      <c r="F263" s="41"/>
      <c r="G263" s="42"/>
      <c r="H263" s="43"/>
      <c r="I263" s="10"/>
      <c r="J263" s="44"/>
      <c r="K263" s="45"/>
      <c r="L263" s="46"/>
      <c r="M263" s="46"/>
      <c r="N263" s="47"/>
      <c r="O263" s="48"/>
      <c r="P263" s="47"/>
      <c r="Q263" s="47"/>
      <c r="R263" s="47"/>
      <c r="S263" s="3"/>
      <c r="T263" s="49"/>
      <c r="U263" s="50"/>
      <c r="V263" s="21"/>
    </row>
    <row r="264" spans="1:22" ht="14.4" customHeight="1">
      <c r="A264" s="2">
        <f>ROW()-4</f>
        <v>260</v>
      </c>
      <c r="B264" s="39" t="e">
        <f>R264/L264</f>
        <v>#DIV/0!</v>
      </c>
      <c r="C264" s="2">
        <f>IF(ISBLANK($B264),-1,IFERROR(IF($B264&gt;0.9,2,IF($B264&lt;0.3,1,0)),-1))</f>
        <v>-1</v>
      </c>
      <c r="D264" s="2"/>
      <c r="E264" s="40"/>
      <c r="F264" s="41"/>
      <c r="G264" s="42"/>
      <c r="H264" s="43"/>
      <c r="I264" s="10"/>
      <c r="J264" s="44"/>
      <c r="K264" s="45"/>
      <c r="L264" s="46"/>
      <c r="M264" s="46"/>
      <c r="N264" s="47"/>
      <c r="O264" s="48"/>
      <c r="P264" s="47"/>
      <c r="Q264" s="47"/>
      <c r="R264" s="47"/>
      <c r="S264" s="3"/>
      <c r="T264" s="49"/>
      <c r="U264" s="50"/>
      <c r="V264" s="21"/>
    </row>
    <row r="265" spans="1:22" ht="14.4" customHeight="1">
      <c r="A265" s="2">
        <f>ROW()-4</f>
        <v>261</v>
      </c>
      <c r="B265" s="39" t="e">
        <f>R265/L265</f>
        <v>#DIV/0!</v>
      </c>
      <c r="C265" s="2">
        <f>IF(ISBLANK($B265),-1,IFERROR(IF($B265&gt;0.9,2,IF($B265&lt;0.3,1,0)),-1))</f>
        <v>-1</v>
      </c>
      <c r="D265" s="2"/>
      <c r="E265" s="40"/>
      <c r="F265" s="41"/>
      <c r="G265" s="42"/>
      <c r="H265" s="43"/>
      <c r="I265" s="10"/>
      <c r="J265" s="44"/>
      <c r="K265" s="45"/>
      <c r="L265" s="46"/>
      <c r="M265" s="46"/>
      <c r="N265" s="47"/>
      <c r="O265" s="48"/>
      <c r="P265" s="47"/>
      <c r="Q265" s="47"/>
      <c r="R265" s="47"/>
      <c r="S265" s="3"/>
      <c r="T265" s="49"/>
      <c r="U265" s="50"/>
      <c r="V265" s="21"/>
    </row>
    <row r="266" spans="1:22" ht="14.4" customHeight="1">
      <c r="A266" s="2">
        <f>ROW()-4</f>
        <v>262</v>
      </c>
      <c r="B266" s="39" t="e">
        <f>R266/L266</f>
        <v>#DIV/0!</v>
      </c>
      <c r="C266" s="2">
        <f>IF(ISBLANK($B266),-1,IFERROR(IF($B266&gt;0.9,2,IF($B266&lt;0.3,1,0)),-1))</f>
        <v>-1</v>
      </c>
      <c r="D266" s="2"/>
      <c r="E266" s="40"/>
      <c r="F266" s="41"/>
      <c r="G266" s="42"/>
      <c r="H266" s="43"/>
      <c r="I266" s="10"/>
      <c r="J266" s="44"/>
      <c r="K266" s="45"/>
      <c r="L266" s="46"/>
      <c r="M266" s="46"/>
      <c r="N266" s="47"/>
      <c r="O266" s="48"/>
      <c r="P266" s="47"/>
      <c r="Q266" s="47"/>
      <c r="R266" s="47"/>
      <c r="S266" s="3"/>
      <c r="T266" s="49"/>
      <c r="U266" s="50"/>
      <c r="V266" s="21"/>
    </row>
    <row r="267" spans="1:22" ht="14.4" customHeight="1">
      <c r="A267" s="2">
        <f>ROW()-4</f>
        <v>263</v>
      </c>
      <c r="B267" s="39" t="e">
        <f>R267/L267</f>
        <v>#DIV/0!</v>
      </c>
      <c r="C267" s="2">
        <f>IF(ISBLANK($B267),-1,IFERROR(IF($B267&gt;0.9,2,IF($B267&lt;0.3,1,0)),-1))</f>
        <v>-1</v>
      </c>
      <c r="D267" s="2"/>
      <c r="E267" s="40"/>
      <c r="F267" s="41"/>
      <c r="G267" s="42"/>
      <c r="H267" s="43"/>
      <c r="I267" s="10"/>
      <c r="J267" s="44"/>
      <c r="K267" s="45"/>
      <c r="L267" s="46"/>
      <c r="M267" s="46"/>
      <c r="N267" s="47"/>
      <c r="O267" s="48"/>
      <c r="P267" s="47"/>
      <c r="Q267" s="47"/>
      <c r="R267" s="47"/>
      <c r="S267" s="3"/>
      <c r="T267" s="49"/>
      <c r="U267" s="50"/>
      <c r="V267" s="21"/>
    </row>
    <row r="268" spans="1:22" ht="14.4" customHeight="1">
      <c r="A268" s="2">
        <f>ROW()-4</f>
        <v>264</v>
      </c>
      <c r="B268" s="39" t="e">
        <f>R268/L268</f>
        <v>#DIV/0!</v>
      </c>
      <c r="C268" s="2">
        <f>IF(ISBLANK($B268),-1,IFERROR(IF($B268&gt;0.9,2,IF($B268&lt;0.3,1,0)),-1))</f>
        <v>-1</v>
      </c>
      <c r="D268" s="2"/>
      <c r="E268" s="40"/>
      <c r="F268" s="41"/>
      <c r="G268" s="42"/>
      <c r="H268" s="43"/>
      <c r="I268" s="10"/>
      <c r="J268" s="44"/>
      <c r="K268" s="45"/>
      <c r="L268" s="46"/>
      <c r="M268" s="46"/>
      <c r="N268" s="47"/>
      <c r="O268" s="48"/>
      <c r="P268" s="47"/>
      <c r="Q268" s="47"/>
      <c r="R268" s="47"/>
      <c r="S268" s="3"/>
      <c r="T268" s="49"/>
      <c r="U268" s="50"/>
      <c r="V268" s="21"/>
    </row>
    <row r="269" spans="1:22" ht="14.4" customHeight="1">
      <c r="A269" s="2">
        <f>ROW()-4</f>
        <v>265</v>
      </c>
      <c r="B269" s="39" t="e">
        <f>R269/L269</f>
        <v>#DIV/0!</v>
      </c>
      <c r="C269" s="2">
        <f>IF(ISBLANK($B269),-1,IFERROR(IF($B269&gt;0.9,2,IF($B269&lt;0.3,1,0)),-1))</f>
        <v>-1</v>
      </c>
      <c r="D269" s="2"/>
      <c r="E269" s="40"/>
      <c r="F269" s="41"/>
      <c r="G269" s="42"/>
      <c r="H269" s="43"/>
      <c r="I269" s="10"/>
      <c r="J269" s="44"/>
      <c r="K269" s="45"/>
      <c r="L269" s="46"/>
      <c r="M269" s="46"/>
      <c r="N269" s="47"/>
      <c r="O269" s="48"/>
      <c r="P269" s="47"/>
      <c r="Q269" s="47"/>
      <c r="R269" s="47"/>
      <c r="S269" s="3"/>
      <c r="T269" s="49"/>
      <c r="U269" s="50"/>
      <c r="V269" s="21"/>
    </row>
    <row r="270" spans="1:22" ht="14.4" customHeight="1">
      <c r="A270" s="2">
        <f>ROW()-4</f>
        <v>266</v>
      </c>
      <c r="B270" s="39" t="e">
        <f>R270/L270</f>
        <v>#DIV/0!</v>
      </c>
      <c r="C270" s="2">
        <f>IF(ISBLANK($B270),-1,IFERROR(IF($B270&gt;0.9,2,IF($B270&lt;0.3,1,0)),-1))</f>
        <v>-1</v>
      </c>
      <c r="D270" s="2"/>
      <c r="E270" s="40"/>
      <c r="F270" s="41"/>
      <c r="G270" s="42"/>
      <c r="H270" s="43"/>
      <c r="I270" s="10"/>
      <c r="J270" s="44"/>
      <c r="K270" s="45"/>
      <c r="L270" s="46"/>
      <c r="M270" s="46"/>
      <c r="N270" s="47"/>
      <c r="O270" s="48"/>
      <c r="P270" s="47"/>
      <c r="Q270" s="47"/>
      <c r="R270" s="47"/>
      <c r="S270" s="3"/>
      <c r="T270" s="49"/>
      <c r="U270" s="50"/>
      <c r="V270" s="21"/>
    </row>
    <row r="271" spans="1:22" ht="14.4" customHeight="1">
      <c r="A271" s="2">
        <f>ROW()-4</f>
        <v>267</v>
      </c>
      <c r="B271" s="39" t="e">
        <f>R271/L271</f>
        <v>#DIV/0!</v>
      </c>
      <c r="C271" s="2">
        <f>IF(ISBLANK($B271),-1,IFERROR(IF($B271&gt;0.9,2,IF($B271&lt;0.3,1,0)),-1))</f>
        <v>-1</v>
      </c>
      <c r="D271" s="2"/>
      <c r="E271" s="40"/>
      <c r="F271" s="41"/>
      <c r="G271" s="42"/>
      <c r="H271" s="43"/>
      <c r="I271" s="10"/>
      <c r="J271" s="44"/>
      <c r="K271" s="45"/>
      <c r="L271" s="46"/>
      <c r="M271" s="46"/>
      <c r="N271" s="47"/>
      <c r="O271" s="48"/>
      <c r="P271" s="47"/>
      <c r="Q271" s="47"/>
      <c r="R271" s="47"/>
      <c r="S271" s="3"/>
      <c r="T271" s="49"/>
      <c r="U271" s="50"/>
      <c r="V271" s="21"/>
    </row>
    <row r="272" spans="1:22" ht="14.4" customHeight="1">
      <c r="A272" s="2">
        <f>ROW()-4</f>
        <v>268</v>
      </c>
      <c r="B272" s="39" t="e">
        <f>R272/L272</f>
        <v>#DIV/0!</v>
      </c>
      <c r="C272" s="2">
        <f>IF(ISBLANK($B272),-1,IFERROR(IF($B272&gt;0.9,2,IF($B272&lt;0.3,1,0)),-1))</f>
        <v>-1</v>
      </c>
      <c r="D272" s="2"/>
      <c r="E272" s="40"/>
      <c r="F272" s="41"/>
      <c r="G272" s="42"/>
      <c r="H272" s="43"/>
      <c r="I272" s="10"/>
      <c r="J272" s="44"/>
      <c r="K272" s="45"/>
      <c r="L272" s="46"/>
      <c r="M272" s="46"/>
      <c r="N272" s="47"/>
      <c r="O272" s="48"/>
      <c r="P272" s="47"/>
      <c r="Q272" s="47"/>
      <c r="R272" s="47"/>
      <c r="S272" s="3"/>
      <c r="T272" s="49"/>
      <c r="U272" s="50"/>
      <c r="V272" s="21"/>
    </row>
    <row r="273" spans="1:22" ht="14.4" customHeight="1">
      <c r="A273" s="2">
        <f>ROW()-4</f>
        <v>269</v>
      </c>
      <c r="B273" s="39" t="e">
        <f>R273/L273</f>
        <v>#DIV/0!</v>
      </c>
      <c r="C273" s="2">
        <f>IF(ISBLANK($B273),-1,IFERROR(IF($B273&gt;0.9,2,IF($B273&lt;0.3,1,0)),-1))</f>
        <v>-1</v>
      </c>
      <c r="D273" s="2"/>
      <c r="E273" s="40"/>
      <c r="F273" s="41"/>
      <c r="G273" s="42"/>
      <c r="H273" s="43"/>
      <c r="I273" s="10"/>
      <c r="J273" s="44"/>
      <c r="K273" s="45"/>
      <c r="L273" s="46"/>
      <c r="M273" s="46"/>
      <c r="N273" s="47"/>
      <c r="O273" s="48"/>
      <c r="P273" s="47"/>
      <c r="Q273" s="47"/>
      <c r="R273" s="47"/>
      <c r="S273" s="3"/>
      <c r="T273" s="49"/>
      <c r="U273" s="50"/>
      <c r="V273" s="21"/>
    </row>
    <row r="274" spans="1:22" ht="14.4" customHeight="1">
      <c r="A274" s="2">
        <f>ROW()-4</f>
        <v>270</v>
      </c>
      <c r="B274" s="39" t="e">
        <f>R274/L274</f>
        <v>#DIV/0!</v>
      </c>
      <c r="C274" s="2">
        <f>IF(ISBLANK($B274),-1,IFERROR(IF($B274&gt;0.9,2,IF($B274&lt;0.3,1,0)),-1))</f>
        <v>-1</v>
      </c>
      <c r="D274" s="2"/>
      <c r="E274" s="40"/>
      <c r="F274" s="41"/>
      <c r="G274" s="42"/>
      <c r="H274" s="43"/>
      <c r="I274" s="10"/>
      <c r="J274" s="44"/>
      <c r="K274" s="45"/>
      <c r="L274" s="46"/>
      <c r="M274" s="46"/>
      <c r="N274" s="47"/>
      <c r="O274" s="48"/>
      <c r="P274" s="47"/>
      <c r="Q274" s="47"/>
      <c r="R274" s="47"/>
      <c r="S274" s="3"/>
      <c r="T274" s="49"/>
      <c r="U274" s="50"/>
      <c r="V274" s="21"/>
    </row>
    <row r="275" spans="1:22" ht="14.4" customHeight="1">
      <c r="A275" s="2">
        <f>ROW()-4</f>
        <v>271</v>
      </c>
      <c r="B275" s="39" t="e">
        <f>R275/L275</f>
        <v>#DIV/0!</v>
      </c>
      <c r="C275" s="2">
        <f>IF(ISBLANK($B275),-1,IFERROR(IF($B275&gt;0.9,2,IF($B275&lt;0.3,1,0)),-1))</f>
        <v>-1</v>
      </c>
      <c r="D275" s="2"/>
      <c r="E275" s="40"/>
      <c r="F275" s="41"/>
      <c r="G275" s="42"/>
      <c r="H275" s="43"/>
      <c r="I275" s="10"/>
      <c r="J275" s="44"/>
      <c r="K275" s="45"/>
      <c r="L275" s="46"/>
      <c r="M275" s="46"/>
      <c r="N275" s="47"/>
      <c r="O275" s="48"/>
      <c r="P275" s="47"/>
      <c r="Q275" s="47"/>
      <c r="R275" s="47"/>
      <c r="S275" s="3"/>
      <c r="T275" s="49"/>
      <c r="U275" s="50"/>
      <c r="V275" s="21"/>
    </row>
    <row r="276" spans="1:22" ht="14.4" customHeight="1">
      <c r="A276" s="2">
        <f>ROW()-4</f>
        <v>272</v>
      </c>
      <c r="B276" s="39" t="e">
        <f>R276/L276</f>
        <v>#DIV/0!</v>
      </c>
      <c r="C276" s="2">
        <f>IF(ISBLANK($B276),-1,IFERROR(IF($B276&gt;0.9,2,IF($B276&lt;0.3,1,0)),-1))</f>
        <v>-1</v>
      </c>
      <c r="D276" s="2"/>
      <c r="E276" s="40"/>
      <c r="F276" s="41"/>
      <c r="G276" s="42"/>
      <c r="H276" s="43"/>
      <c r="I276" s="10"/>
      <c r="J276" s="44"/>
      <c r="K276" s="45"/>
      <c r="L276" s="46"/>
      <c r="M276" s="46"/>
      <c r="N276" s="47"/>
      <c r="O276" s="48"/>
      <c r="P276" s="47"/>
      <c r="Q276" s="47"/>
      <c r="R276" s="47"/>
      <c r="S276" s="3"/>
      <c r="T276" s="49"/>
      <c r="U276" s="50"/>
      <c r="V276" s="21"/>
    </row>
    <row r="277" spans="1:22" ht="14.4" customHeight="1">
      <c r="A277" s="2">
        <f>ROW()-4</f>
        <v>273</v>
      </c>
      <c r="B277" s="39" t="e">
        <f>R277/L277</f>
        <v>#DIV/0!</v>
      </c>
      <c r="C277" s="2">
        <f>IF(ISBLANK($B277),-1,IFERROR(IF($B277&gt;0.9,2,IF($B277&lt;0.3,1,0)),-1))</f>
        <v>-1</v>
      </c>
      <c r="D277" s="2"/>
      <c r="E277" s="40"/>
      <c r="F277" s="41"/>
      <c r="G277" s="42"/>
      <c r="H277" s="43"/>
      <c r="I277" s="10"/>
      <c r="J277" s="44"/>
      <c r="K277" s="45"/>
      <c r="L277" s="46"/>
      <c r="M277" s="46"/>
      <c r="N277" s="47"/>
      <c r="O277" s="48"/>
      <c r="P277" s="47"/>
      <c r="Q277" s="47"/>
      <c r="R277" s="47"/>
      <c r="S277" s="3"/>
      <c r="T277" s="49"/>
      <c r="U277" s="50"/>
      <c r="V277" s="21"/>
    </row>
    <row r="278" spans="1:22" ht="14.4" customHeight="1">
      <c r="A278" s="2">
        <f>ROW()-4</f>
        <v>274</v>
      </c>
      <c r="B278" s="39" t="e">
        <f>R278/L278</f>
        <v>#DIV/0!</v>
      </c>
      <c r="C278" s="2">
        <f>IF(ISBLANK($B278),-1,IFERROR(IF($B278&gt;0.9,2,IF($B278&lt;0.3,1,0)),-1))</f>
        <v>-1</v>
      </c>
      <c r="D278" s="2"/>
      <c r="E278" s="40"/>
      <c r="F278" s="41"/>
      <c r="G278" s="42"/>
      <c r="H278" s="43"/>
      <c r="I278" s="10"/>
      <c r="J278" s="44"/>
      <c r="K278" s="45"/>
      <c r="L278" s="46"/>
      <c r="M278" s="46"/>
      <c r="N278" s="47"/>
      <c r="O278" s="48"/>
      <c r="P278" s="47"/>
      <c r="Q278" s="47"/>
      <c r="R278" s="47"/>
      <c r="S278" s="3"/>
      <c r="T278" s="49"/>
      <c r="U278" s="50"/>
      <c r="V278" s="21"/>
    </row>
    <row r="279" spans="1:22" ht="14.4" customHeight="1">
      <c r="A279" s="2">
        <f>ROW()-4</f>
        <v>275</v>
      </c>
      <c r="B279" s="39" t="e">
        <f>R279/L279</f>
        <v>#DIV/0!</v>
      </c>
      <c r="C279" s="2">
        <f>IF(ISBLANK($B279),-1,IFERROR(IF($B279&gt;0.9,2,IF($B279&lt;0.3,1,0)),-1))</f>
        <v>-1</v>
      </c>
      <c r="D279" s="2"/>
      <c r="E279" s="40"/>
      <c r="F279" s="41"/>
      <c r="G279" s="42"/>
      <c r="H279" s="43"/>
      <c r="I279" s="10"/>
      <c r="J279" s="44"/>
      <c r="K279" s="45"/>
      <c r="L279" s="46"/>
      <c r="M279" s="46"/>
      <c r="N279" s="47"/>
      <c r="O279" s="48"/>
      <c r="P279" s="47"/>
      <c r="Q279" s="47"/>
      <c r="R279" s="47"/>
      <c r="S279" s="3"/>
      <c r="T279" s="49"/>
      <c r="U279" s="50"/>
      <c r="V279" s="21"/>
    </row>
    <row r="280" spans="1:22" ht="14.4" customHeight="1">
      <c r="A280" s="2">
        <f>ROW()-4</f>
        <v>276</v>
      </c>
      <c r="B280" s="39" t="e">
        <f>R280/L280</f>
        <v>#DIV/0!</v>
      </c>
      <c r="C280" s="2">
        <f>IF(ISBLANK($B280),-1,IFERROR(IF($B280&gt;0.9,2,IF($B280&lt;0.3,1,0)),-1))</f>
        <v>-1</v>
      </c>
      <c r="D280" s="2"/>
      <c r="E280" s="40"/>
      <c r="F280" s="41"/>
      <c r="G280" s="42"/>
      <c r="H280" s="43"/>
      <c r="I280" s="10"/>
      <c r="J280" s="44"/>
      <c r="K280" s="45"/>
      <c r="L280" s="46"/>
      <c r="M280" s="46"/>
      <c r="N280" s="47"/>
      <c r="O280" s="48"/>
      <c r="P280" s="47"/>
      <c r="Q280" s="47"/>
      <c r="R280" s="47"/>
      <c r="S280" s="3"/>
      <c r="T280" s="49"/>
      <c r="U280" s="50"/>
      <c r="V280" s="21"/>
    </row>
    <row r="281" spans="1:22" ht="14.4" customHeight="1">
      <c r="A281" s="2">
        <f>ROW()-4</f>
        <v>277</v>
      </c>
      <c r="B281" s="39" t="e">
        <f>R281/L281</f>
        <v>#DIV/0!</v>
      </c>
      <c r="C281" s="2">
        <f>IF(ISBLANK($B281),-1,IFERROR(IF($B281&gt;0.9,2,IF($B281&lt;0.3,1,0)),-1))</f>
        <v>-1</v>
      </c>
      <c r="D281" s="2"/>
      <c r="E281" s="40"/>
      <c r="F281" s="41"/>
      <c r="G281" s="42"/>
      <c r="H281" s="43"/>
      <c r="I281" s="10"/>
      <c r="J281" s="44"/>
      <c r="K281" s="45"/>
      <c r="L281" s="46"/>
      <c r="M281" s="46"/>
      <c r="N281" s="47"/>
      <c r="O281" s="48"/>
      <c r="P281" s="47"/>
      <c r="Q281" s="47"/>
      <c r="R281" s="47"/>
      <c r="S281" s="3"/>
      <c r="T281" s="49"/>
      <c r="U281" s="50"/>
      <c r="V281" s="21"/>
    </row>
    <row r="282" spans="1:22" ht="14.4" customHeight="1">
      <c r="A282" s="2">
        <f>ROW()-4</f>
        <v>278</v>
      </c>
      <c r="B282" s="39" t="e">
        <f>R282/L282</f>
        <v>#DIV/0!</v>
      </c>
      <c r="C282" s="2">
        <f>IF(ISBLANK($B282),-1,IFERROR(IF($B282&gt;0.9,2,IF($B282&lt;0.3,1,0)),-1))</f>
        <v>-1</v>
      </c>
      <c r="D282" s="2"/>
      <c r="E282" s="40"/>
      <c r="F282" s="41"/>
      <c r="G282" s="42"/>
      <c r="H282" s="43"/>
      <c r="I282" s="10"/>
      <c r="J282" s="44"/>
      <c r="K282" s="45"/>
      <c r="L282" s="46"/>
      <c r="M282" s="46"/>
      <c r="N282" s="47"/>
      <c r="O282" s="48"/>
      <c r="P282" s="47"/>
      <c r="Q282" s="47"/>
      <c r="R282" s="47"/>
      <c r="S282" s="3"/>
      <c r="T282" s="49"/>
      <c r="U282" s="50"/>
      <c r="V282" s="21"/>
    </row>
    <row r="283" spans="1:22" ht="14.4" customHeight="1">
      <c r="A283" s="2">
        <f>ROW()-4</f>
        <v>279</v>
      </c>
      <c r="B283" s="39" t="e">
        <f>R283/L283</f>
        <v>#DIV/0!</v>
      </c>
      <c r="C283" s="2">
        <f>IF(ISBLANK($B283),-1,IFERROR(IF($B283&gt;0.9,2,IF($B283&lt;0.3,1,0)),-1))</f>
        <v>-1</v>
      </c>
      <c r="D283" s="2"/>
      <c r="E283" s="40"/>
      <c r="F283" s="41"/>
      <c r="G283" s="42"/>
      <c r="H283" s="43"/>
      <c r="I283" s="10"/>
      <c r="J283" s="44"/>
      <c r="K283" s="45"/>
      <c r="L283" s="46"/>
      <c r="M283" s="46"/>
      <c r="N283" s="47"/>
      <c r="O283" s="48"/>
      <c r="P283" s="47"/>
      <c r="Q283" s="47"/>
      <c r="R283" s="47"/>
      <c r="S283" s="3"/>
      <c r="T283" s="49"/>
      <c r="U283" s="50"/>
      <c r="V283" s="21"/>
    </row>
    <row r="284" spans="1:22" ht="14.4" customHeight="1">
      <c r="A284" s="2">
        <f>ROW()-4</f>
        <v>280</v>
      </c>
      <c r="B284" s="39" t="e">
        <f>R284/L284</f>
        <v>#DIV/0!</v>
      </c>
      <c r="C284" s="2">
        <f>IF(ISBLANK($B284),-1,IFERROR(IF($B284&gt;0.9,2,IF($B284&lt;0.3,1,0)),-1))</f>
        <v>-1</v>
      </c>
      <c r="D284" s="2"/>
      <c r="E284" s="40"/>
      <c r="F284" s="41"/>
      <c r="G284" s="42"/>
      <c r="H284" s="43"/>
      <c r="I284" s="10"/>
      <c r="J284" s="44"/>
      <c r="K284" s="45"/>
      <c r="L284" s="46"/>
      <c r="M284" s="46"/>
      <c r="N284" s="47"/>
      <c r="O284" s="48"/>
      <c r="P284" s="47"/>
      <c r="Q284" s="47"/>
      <c r="R284" s="47"/>
      <c r="S284" s="3"/>
      <c r="T284" s="49"/>
      <c r="U284" s="50"/>
      <c r="V284" s="21"/>
    </row>
    <row r="285" spans="1:22" ht="14.4" customHeight="1">
      <c r="A285" s="2">
        <f>ROW()-4</f>
        <v>281</v>
      </c>
      <c r="B285" s="39" t="e">
        <f>R285/L285</f>
        <v>#DIV/0!</v>
      </c>
      <c r="C285" s="2">
        <f>IF(ISBLANK($B285),-1,IFERROR(IF($B285&gt;0.9,2,IF($B285&lt;0.3,1,0)),-1))</f>
        <v>-1</v>
      </c>
      <c r="D285" s="2"/>
      <c r="E285" s="40"/>
      <c r="F285" s="41"/>
      <c r="G285" s="42"/>
      <c r="H285" s="43"/>
      <c r="I285" s="10"/>
      <c r="J285" s="44"/>
      <c r="K285" s="45"/>
      <c r="L285" s="46"/>
      <c r="M285" s="46"/>
      <c r="N285" s="47"/>
      <c r="O285" s="48"/>
      <c r="P285" s="47"/>
      <c r="Q285" s="47"/>
      <c r="R285" s="47"/>
      <c r="S285" s="3"/>
      <c r="T285" s="49"/>
      <c r="U285" s="50"/>
      <c r="V285" s="21"/>
    </row>
    <row r="286" spans="1:22" ht="14.4" customHeight="1">
      <c r="A286" s="2">
        <f>ROW()-4</f>
        <v>282</v>
      </c>
      <c r="B286" s="39" t="e">
        <f>R286/L286</f>
        <v>#DIV/0!</v>
      </c>
      <c r="C286" s="2">
        <f>IF(ISBLANK($B286),-1,IFERROR(IF($B286&gt;0.9,2,IF($B286&lt;0.3,1,0)),-1))</f>
        <v>-1</v>
      </c>
      <c r="D286" s="2"/>
      <c r="E286" s="40"/>
      <c r="F286" s="41"/>
      <c r="G286" s="42"/>
      <c r="H286" s="43"/>
      <c r="I286" s="10"/>
      <c r="J286" s="44"/>
      <c r="K286" s="45"/>
      <c r="L286" s="46"/>
      <c r="M286" s="46"/>
      <c r="N286" s="47"/>
      <c r="O286" s="48"/>
      <c r="P286" s="47"/>
      <c r="Q286" s="47"/>
      <c r="R286" s="47"/>
      <c r="S286" s="3"/>
      <c r="T286" s="49"/>
      <c r="U286" s="50"/>
      <c r="V286" s="21"/>
    </row>
    <row r="287" spans="1:22" ht="14.4" customHeight="1">
      <c r="A287" s="2">
        <f>ROW()-4</f>
        <v>283</v>
      </c>
      <c r="B287" s="39" t="e">
        <f>R287/L287</f>
        <v>#DIV/0!</v>
      </c>
      <c r="C287" s="2">
        <f>IF(ISBLANK($B287),-1,IFERROR(IF($B287&gt;0.9,2,IF($B287&lt;0.3,1,0)),-1))</f>
        <v>-1</v>
      </c>
      <c r="D287" s="2"/>
      <c r="E287" s="40"/>
      <c r="F287" s="41"/>
      <c r="G287" s="42"/>
      <c r="H287" s="43"/>
      <c r="I287" s="10"/>
      <c r="J287" s="44"/>
      <c r="K287" s="45"/>
      <c r="L287" s="46"/>
      <c r="M287" s="46"/>
      <c r="N287" s="47"/>
      <c r="O287" s="48"/>
      <c r="P287" s="47"/>
      <c r="Q287" s="47"/>
      <c r="R287" s="47"/>
      <c r="S287" s="3"/>
      <c r="T287" s="49"/>
      <c r="U287" s="50"/>
      <c r="V287" s="21"/>
    </row>
    <row r="288" spans="1:22" ht="14.4" customHeight="1">
      <c r="A288" s="2">
        <f>ROW()-4</f>
        <v>284</v>
      </c>
      <c r="B288" s="39" t="e">
        <f>R288/L288</f>
        <v>#DIV/0!</v>
      </c>
      <c r="C288" s="2">
        <f>IF(ISBLANK($B288),-1,IFERROR(IF($B288&gt;0.9,2,IF($B288&lt;0.3,1,0)),-1))</f>
        <v>-1</v>
      </c>
      <c r="D288" s="2"/>
      <c r="E288" s="40"/>
      <c r="F288" s="41"/>
      <c r="G288" s="42"/>
      <c r="H288" s="43"/>
      <c r="I288" s="10"/>
      <c r="J288" s="44"/>
      <c r="K288" s="45"/>
      <c r="L288" s="46"/>
      <c r="M288" s="46"/>
      <c r="N288" s="47"/>
      <c r="O288" s="48"/>
      <c r="P288" s="47"/>
      <c r="Q288" s="47"/>
      <c r="R288" s="47"/>
      <c r="S288" s="3"/>
      <c r="T288" s="49"/>
      <c r="U288" s="50"/>
      <c r="V288" s="21"/>
    </row>
    <row r="289" spans="1:22" ht="14.4" customHeight="1">
      <c r="A289" s="2">
        <f>ROW()-4</f>
        <v>285</v>
      </c>
      <c r="B289" s="39" t="e">
        <f>R289/L289</f>
        <v>#DIV/0!</v>
      </c>
      <c r="C289" s="2">
        <f>IF(ISBLANK($B289),-1,IFERROR(IF($B289&gt;0.9,2,IF($B289&lt;0.3,1,0)),-1))</f>
        <v>-1</v>
      </c>
      <c r="D289" s="2"/>
      <c r="E289" s="40"/>
      <c r="F289" s="41"/>
      <c r="G289" s="42"/>
      <c r="H289" s="43"/>
      <c r="I289" s="10"/>
      <c r="J289" s="44"/>
      <c r="K289" s="45"/>
      <c r="L289" s="46"/>
      <c r="M289" s="46"/>
      <c r="N289" s="47"/>
      <c r="O289" s="48"/>
      <c r="P289" s="47"/>
      <c r="Q289" s="47"/>
      <c r="R289" s="47"/>
      <c r="S289" s="3"/>
      <c r="T289" s="49"/>
      <c r="U289" s="50"/>
      <c r="V289" s="21"/>
    </row>
    <row r="290" spans="1:22" ht="14.4" customHeight="1">
      <c r="A290" s="2">
        <f>ROW()-4</f>
        <v>286</v>
      </c>
      <c r="B290" s="39" t="e">
        <f>R290/L290</f>
        <v>#DIV/0!</v>
      </c>
      <c r="C290" s="2">
        <f>IF(ISBLANK($B290),-1,IFERROR(IF($B290&gt;0.9,2,IF($B290&lt;0.3,1,0)),-1))</f>
        <v>-1</v>
      </c>
      <c r="D290" s="2"/>
      <c r="E290" s="40"/>
      <c r="F290" s="41"/>
      <c r="G290" s="42"/>
      <c r="H290" s="43"/>
      <c r="I290" s="10"/>
      <c r="J290" s="44"/>
      <c r="K290" s="45"/>
      <c r="L290" s="46"/>
      <c r="M290" s="46"/>
      <c r="N290" s="47"/>
      <c r="O290" s="48"/>
      <c r="P290" s="47"/>
      <c r="Q290" s="47"/>
      <c r="R290" s="47"/>
      <c r="S290" s="3"/>
      <c r="T290" s="49"/>
      <c r="U290" s="50"/>
      <c r="V290" s="21"/>
    </row>
    <row r="291" spans="1:22" ht="14.4" customHeight="1">
      <c r="A291" s="2">
        <f>ROW()-4</f>
        <v>287</v>
      </c>
      <c r="B291" s="39" t="e">
        <f>R291/L291</f>
        <v>#DIV/0!</v>
      </c>
      <c r="C291" s="2">
        <f>IF(ISBLANK($B291),-1,IFERROR(IF($B291&gt;0.9,2,IF($B291&lt;0.3,1,0)),-1))</f>
        <v>-1</v>
      </c>
      <c r="D291" s="2"/>
      <c r="E291" s="40"/>
      <c r="F291" s="41"/>
      <c r="G291" s="42"/>
      <c r="H291" s="43"/>
      <c r="I291" s="10"/>
      <c r="J291" s="44"/>
      <c r="K291" s="45"/>
      <c r="L291" s="46"/>
      <c r="M291" s="46"/>
      <c r="N291" s="47"/>
      <c r="O291" s="48"/>
      <c r="P291" s="47"/>
      <c r="Q291" s="47"/>
      <c r="R291" s="47"/>
      <c r="S291" s="3"/>
      <c r="T291" s="49"/>
      <c r="U291" s="50"/>
      <c r="V291" s="21"/>
    </row>
    <row r="292" spans="1:22" ht="14.4" customHeight="1">
      <c r="A292" s="2">
        <f>ROW()-4</f>
        <v>288</v>
      </c>
      <c r="B292" s="39" t="e">
        <f>R292/L292</f>
        <v>#DIV/0!</v>
      </c>
      <c r="C292" s="2">
        <f>IF(ISBLANK($B292),-1,IFERROR(IF($B292&gt;0.9,2,IF($B292&lt;0.3,1,0)),-1))</f>
        <v>-1</v>
      </c>
      <c r="D292" s="2"/>
      <c r="E292" s="40"/>
      <c r="F292" s="41"/>
      <c r="G292" s="42"/>
      <c r="H292" s="43"/>
      <c r="I292" s="10"/>
      <c r="J292" s="44"/>
      <c r="K292" s="45"/>
      <c r="L292" s="46"/>
      <c r="M292" s="46"/>
      <c r="N292" s="47"/>
      <c r="O292" s="48"/>
      <c r="P292" s="47"/>
      <c r="Q292" s="47"/>
      <c r="R292" s="47"/>
      <c r="S292" s="3"/>
      <c r="T292" s="49"/>
      <c r="U292" s="50"/>
      <c r="V292" s="21"/>
    </row>
    <row r="293" spans="1:22" ht="14.4" customHeight="1">
      <c r="A293" s="2">
        <f>ROW()-4</f>
        <v>289</v>
      </c>
      <c r="B293" s="39" t="e">
        <f>R293/L293</f>
        <v>#DIV/0!</v>
      </c>
      <c r="C293" s="2">
        <f>IF(ISBLANK($B293),-1,IFERROR(IF($B293&gt;0.9,2,IF($B293&lt;0.3,1,0)),-1))</f>
        <v>-1</v>
      </c>
      <c r="D293" s="2"/>
      <c r="E293" s="40"/>
      <c r="F293" s="41"/>
      <c r="G293" s="42"/>
      <c r="H293" s="43"/>
      <c r="I293" s="10"/>
      <c r="J293" s="44"/>
      <c r="K293" s="45"/>
      <c r="L293" s="46"/>
      <c r="M293" s="46"/>
      <c r="N293" s="47"/>
      <c r="O293" s="48"/>
      <c r="P293" s="47"/>
      <c r="Q293" s="47"/>
      <c r="R293" s="47"/>
      <c r="S293" s="3"/>
      <c r="T293" s="49"/>
      <c r="U293" s="50"/>
      <c r="V293" s="21"/>
    </row>
    <row r="294" spans="1:22" ht="14.4" customHeight="1">
      <c r="A294" s="2">
        <f>ROW()-4</f>
        <v>290</v>
      </c>
      <c r="B294" s="39" t="e">
        <f>R294/L294</f>
        <v>#DIV/0!</v>
      </c>
      <c r="C294" s="2">
        <f>IF(ISBLANK($B294),-1,IFERROR(IF($B294&gt;0.9,2,IF($B294&lt;0.3,1,0)),-1))</f>
        <v>-1</v>
      </c>
      <c r="D294" s="2"/>
      <c r="E294" s="40"/>
      <c r="F294" s="41"/>
      <c r="G294" s="42"/>
      <c r="H294" s="43"/>
      <c r="I294" s="10"/>
      <c r="J294" s="44"/>
      <c r="K294" s="45"/>
      <c r="L294" s="46"/>
      <c r="M294" s="46"/>
      <c r="N294" s="47"/>
      <c r="O294" s="48"/>
      <c r="P294" s="47"/>
      <c r="Q294" s="47"/>
      <c r="R294" s="47"/>
      <c r="S294" s="3"/>
      <c r="T294" s="49"/>
      <c r="U294" s="50"/>
      <c r="V294" s="21"/>
    </row>
    <row r="295" spans="1:22" ht="14.4" customHeight="1">
      <c r="A295" s="2">
        <f>ROW()-4</f>
        <v>291</v>
      </c>
      <c r="B295" s="39" t="e">
        <f>R295/L295</f>
        <v>#DIV/0!</v>
      </c>
      <c r="C295" s="2">
        <f>IF(ISBLANK($B295),-1,IFERROR(IF($B295&gt;0.9,2,IF($B295&lt;0.3,1,0)),-1))</f>
        <v>-1</v>
      </c>
      <c r="D295" s="2"/>
      <c r="E295" s="40"/>
      <c r="F295" s="41"/>
      <c r="G295" s="42"/>
      <c r="H295" s="43"/>
      <c r="I295" s="10"/>
      <c r="J295" s="44"/>
      <c r="K295" s="45"/>
      <c r="L295" s="46"/>
      <c r="M295" s="46"/>
      <c r="N295" s="47"/>
      <c r="O295" s="48"/>
      <c r="P295" s="47"/>
      <c r="Q295" s="47"/>
      <c r="R295" s="47"/>
      <c r="S295" s="3"/>
      <c r="T295" s="49"/>
      <c r="U295" s="50"/>
      <c r="V295" s="21"/>
    </row>
    <row r="296" spans="1:22" ht="14.4" customHeight="1">
      <c r="A296" s="2">
        <f>ROW()-4</f>
        <v>292</v>
      </c>
      <c r="B296" s="39" t="e">
        <f>R296/L296</f>
        <v>#DIV/0!</v>
      </c>
      <c r="C296" s="2">
        <f>IF(ISBLANK($B296),-1,IFERROR(IF($B296&gt;0.9,2,IF($B296&lt;0.3,1,0)),-1))</f>
        <v>-1</v>
      </c>
      <c r="D296" s="2"/>
      <c r="E296" s="40"/>
      <c r="F296" s="41"/>
      <c r="G296" s="42"/>
      <c r="H296" s="43"/>
      <c r="I296" s="10"/>
      <c r="J296" s="44"/>
      <c r="K296" s="45"/>
      <c r="L296" s="46"/>
      <c r="M296" s="46"/>
      <c r="N296" s="47"/>
      <c r="O296" s="48"/>
      <c r="P296" s="47"/>
      <c r="Q296" s="47"/>
      <c r="R296" s="47"/>
      <c r="S296" s="3"/>
      <c r="T296" s="49"/>
      <c r="U296" s="50"/>
      <c r="V296" s="21"/>
    </row>
    <row r="297" spans="1:22" ht="14.4" customHeight="1">
      <c r="A297" s="2">
        <f>ROW()-4</f>
        <v>293</v>
      </c>
      <c r="B297" s="39"/>
      <c r="C297" s="2">
        <f>IF(ISBLANK($B297),-1,IFERROR(IF($B297&gt;0.9,2,IF($B297&lt;0.3,1,0)),-1))</f>
        <v>-1</v>
      </c>
      <c r="D297" s="2"/>
      <c r="E297" s="65"/>
      <c r="F297" s="66"/>
      <c r="G297" s="67"/>
      <c r="H297" s="67"/>
      <c r="I297" s="69"/>
      <c r="J297" s="68"/>
      <c r="K297" s="70"/>
      <c r="L297" s="71"/>
      <c r="M297" s="71"/>
      <c r="N297" s="47"/>
      <c r="O297" s="72"/>
      <c r="P297" s="72"/>
      <c r="Q297" s="73"/>
      <c r="R297" s="72"/>
      <c r="S297" s="3"/>
      <c r="T297" s="49"/>
      <c r="U297" s="50"/>
      <c r="V297" s="21"/>
    </row>
    <row r="298" spans="1:22" ht="14.4" customHeight="1">
      <c r="A298" s="2">
        <f>ROW()-4</f>
        <v>294</v>
      </c>
      <c r="B298" s="39" t="e">
        <f>R298/L298</f>
        <v>#DIV/0!</v>
      </c>
      <c r="C298" s="2">
        <f>IF(ISBLANK($B298),-1,IFERROR(IF($B298&gt;0.9,2,IF($B298&lt;0.3,1,0)),-1))</f>
        <v>-1</v>
      </c>
      <c r="D298" s="2"/>
      <c r="E298" s="40"/>
      <c r="F298" s="41"/>
      <c r="G298" s="42"/>
      <c r="H298" s="43"/>
      <c r="I298" s="10"/>
      <c r="J298" s="44"/>
      <c r="K298" s="45"/>
      <c r="L298" s="46"/>
      <c r="M298" s="46"/>
      <c r="N298" s="47"/>
      <c r="O298" s="48"/>
      <c r="P298" s="47"/>
      <c r="Q298" s="47"/>
      <c r="R298" s="47"/>
      <c r="S298" s="3"/>
      <c r="T298" s="49"/>
      <c r="U298" s="50"/>
      <c r="V298" s="21"/>
    </row>
    <row r="299" spans="1:22" ht="14.4" customHeight="1">
      <c r="A299" s="2">
        <f>ROW()-4</f>
        <v>295</v>
      </c>
      <c r="B299" s="39" t="e">
        <f>R299/L299</f>
        <v>#DIV/0!</v>
      </c>
      <c r="C299" s="2">
        <f>IF(ISBLANK($B299),-1,IFERROR(IF($B299&gt;0.9,2,IF($B299&lt;0.3,1,0)),-1))</f>
        <v>-1</v>
      </c>
      <c r="D299" s="2"/>
    </row>
    <row r="300" spans="1:22" ht="14.4" customHeight="1">
      <c r="A300" s="2">
        <f>ROW()-4</f>
        <v>296</v>
      </c>
      <c r="B300" s="39" t="e">
        <f>R300/L300</f>
        <v>#DIV/0!</v>
      </c>
      <c r="C300" s="2">
        <f>IF(ISBLANK($B300),-1,IFERROR(IF($B300&gt;0.9,2,IF($B300&lt;0.3,1,0)),-1))</f>
        <v>-1</v>
      </c>
      <c r="D300" s="2"/>
    </row>
    <row r="301" spans="1:22" ht="14.4" customHeight="1">
      <c r="A301" s="2">
        <f>ROW()-4</f>
        <v>297</v>
      </c>
      <c r="B301" s="39" t="e">
        <f>R301/L301</f>
        <v>#DIV/0!</v>
      </c>
      <c r="C301" s="2">
        <f>IF(ISBLANK($B301),-1,IFERROR(IF($B301&gt;0.9,2,IF($B301&lt;0.3,1,0)),-1))</f>
        <v>-1</v>
      </c>
      <c r="D301" s="2"/>
    </row>
    <row r="302" spans="1:22" ht="14.4" customHeight="1">
      <c r="A302" s="2">
        <f>ROW()-4</f>
        <v>298</v>
      </c>
      <c r="B302" s="39" t="e">
        <f>R302/L302</f>
        <v>#DIV/0!</v>
      </c>
      <c r="C302" s="2">
        <f>IF(ISBLANK($B302),-1,IFERROR(IF($B302&gt;0.9,2,IF($B302&lt;0.3,1,0)),-1))</f>
        <v>-1</v>
      </c>
      <c r="D302" s="2"/>
    </row>
    <row r="303" spans="1:22" ht="14.4" customHeight="1">
      <c r="A303" s="2">
        <f>ROW()-4</f>
        <v>299</v>
      </c>
      <c r="B303" s="39" t="e">
        <f>R303/L303</f>
        <v>#DIV/0!</v>
      </c>
      <c r="C303" s="2">
        <f>IF(ISBLANK($B303),-1,IFERROR(IF($B303&gt;0.9,2,IF($B303&lt;0.3,1,0)),-1))</f>
        <v>-1</v>
      </c>
      <c r="D303" s="2"/>
    </row>
    <row r="304" spans="1:22" ht="14.4" customHeight="1">
      <c r="A304" s="2">
        <f>ROW()-4</f>
        <v>300</v>
      </c>
      <c r="B304" s="39" t="e">
        <f>R304/L304</f>
        <v>#DIV/0!</v>
      </c>
      <c r="C304" s="2">
        <f>IF(ISBLANK($B304),-1,IFERROR(IF($B304&gt;0.9,2,IF($B304&lt;0.3,1,0)),-1))</f>
        <v>-1</v>
      </c>
      <c r="D304" s="2"/>
    </row>
    <row r="305" spans="1:4" ht="14.4" customHeight="1">
      <c r="A305" s="2">
        <f>ROW()-4</f>
        <v>301</v>
      </c>
      <c r="B305" s="39" t="e">
        <f>R305/L305</f>
        <v>#DIV/0!</v>
      </c>
      <c r="C305" s="2">
        <f>IF(ISBLANK($B305),-1,IFERROR(IF($B305&gt;0.9,2,IF($B305&lt;0.3,1,0)),-1))</f>
        <v>-1</v>
      </c>
      <c r="D305" s="2"/>
    </row>
    <row r="306" spans="1:4" ht="14.4" customHeight="1">
      <c r="A306" s="2">
        <f>ROW()-4</f>
        <v>302</v>
      </c>
      <c r="B306" s="39" t="e">
        <f>R306/L306</f>
        <v>#DIV/0!</v>
      </c>
      <c r="C306" s="2">
        <f>IF(ISBLANK($B306),-1,IFERROR(IF($B306&gt;0.9,2,IF($B306&lt;0.3,1,0)),-1))</f>
        <v>-1</v>
      </c>
      <c r="D306" s="2"/>
    </row>
    <row r="307" spans="1:4" ht="14.4" customHeight="1">
      <c r="A307" s="2">
        <f>ROW()-4</f>
        <v>303</v>
      </c>
      <c r="B307" s="39" t="e">
        <f>R307/L307</f>
        <v>#DIV/0!</v>
      </c>
      <c r="C307" s="2">
        <f>IF(ISBLANK($B307),-1,IFERROR(IF($B307&gt;0.9,2,IF($B307&lt;0.3,1,0)),-1))</f>
        <v>-1</v>
      </c>
      <c r="D307" s="2"/>
    </row>
    <row r="308" spans="1:4" ht="14.4" customHeight="1">
      <c r="A308" s="2">
        <f>ROW()-4</f>
        <v>304</v>
      </c>
      <c r="B308" s="39" t="e">
        <f>R308/L308</f>
        <v>#DIV/0!</v>
      </c>
      <c r="C308" s="2">
        <f>IF(ISBLANK($B308),-1,IFERROR(IF($B308&gt;0.9,2,IF($B308&lt;0.3,1,0)),-1))</f>
        <v>-1</v>
      </c>
      <c r="D308" s="2"/>
    </row>
    <row r="309" spans="1:4" ht="14.4" customHeight="1">
      <c r="A309" s="2">
        <f>ROW()-4</f>
        <v>305</v>
      </c>
      <c r="B309" s="39" t="e">
        <f>R309/L309</f>
        <v>#DIV/0!</v>
      </c>
      <c r="C309" s="2">
        <f>IF(ISBLANK($B309),-1,IFERROR(IF($B309&gt;0.9,2,IF($B309&lt;0.3,1,0)),-1))</f>
        <v>-1</v>
      </c>
      <c r="D309" s="2"/>
    </row>
    <row r="310" spans="1:4" ht="14.4" customHeight="1">
      <c r="A310" s="2">
        <f>ROW()-4</f>
        <v>306</v>
      </c>
      <c r="B310" s="39" t="e">
        <f>R310/L310</f>
        <v>#DIV/0!</v>
      </c>
      <c r="C310" s="2">
        <f>IF(ISBLANK($B310),-1,IFERROR(IF($B310&gt;0.9,2,IF($B310&lt;0.3,1,0)),-1))</f>
        <v>-1</v>
      </c>
      <c r="D310" s="2"/>
    </row>
    <row r="311" spans="1:4" ht="14.4" customHeight="1">
      <c r="A311" s="2">
        <f>ROW()-4</f>
        <v>307</v>
      </c>
      <c r="B311" s="39" t="e">
        <f>R311/L311</f>
        <v>#DIV/0!</v>
      </c>
      <c r="C311" s="2">
        <f>IF(ISBLANK($B311),-1,IFERROR(IF($B311&gt;0.9,2,IF($B311&lt;0.3,1,0)),-1))</f>
        <v>-1</v>
      </c>
      <c r="D311" s="2"/>
    </row>
    <row r="312" spans="1:4" ht="14.4" customHeight="1">
      <c r="A312" s="2">
        <f>ROW()-4</f>
        <v>308</v>
      </c>
      <c r="B312" s="39" t="e">
        <f>R312/L312</f>
        <v>#DIV/0!</v>
      </c>
      <c r="C312" s="2">
        <f>IF(ISBLANK($B312),-1,IFERROR(IF($B312&gt;0.9,2,IF($B312&lt;0.3,1,0)),-1))</f>
        <v>-1</v>
      </c>
      <c r="D312" s="2"/>
    </row>
    <row r="313" spans="1:4" ht="14.4" customHeight="1">
      <c r="A313" s="2">
        <f>ROW()-4</f>
        <v>309</v>
      </c>
      <c r="B313" s="39" t="e">
        <f>R313/L313</f>
        <v>#DIV/0!</v>
      </c>
      <c r="C313" s="2">
        <f>IF(ISBLANK($B313),-1,IFERROR(IF($B313&gt;0.9,2,IF($B313&lt;0.3,1,0)),-1))</f>
        <v>-1</v>
      </c>
      <c r="D313" s="2"/>
    </row>
    <row r="314" spans="1:4" ht="14.4" customHeight="1">
      <c r="A314" s="2">
        <f>ROW()-4</f>
        <v>310</v>
      </c>
      <c r="B314" s="39" t="e">
        <f>R314/L314</f>
        <v>#DIV/0!</v>
      </c>
      <c r="C314" s="2">
        <f>IF(ISBLANK($B314),-1,IFERROR(IF($B314&gt;0.9,2,IF($B314&lt;0.3,1,0)),-1))</f>
        <v>-1</v>
      </c>
      <c r="D314" s="2"/>
    </row>
    <row r="315" spans="1:4" ht="14.4" customHeight="1">
      <c r="A315" s="2">
        <f>ROW()-4</f>
        <v>311</v>
      </c>
      <c r="B315" s="39" t="e">
        <f>R315/L315</f>
        <v>#DIV/0!</v>
      </c>
      <c r="C315" s="2">
        <f>IF(ISBLANK($B315),-1,IFERROR(IF($B315&gt;0.9,2,IF($B315&lt;0.3,1,0)),-1))</f>
        <v>-1</v>
      </c>
      <c r="D315" s="2"/>
    </row>
    <row r="316" spans="1:4" ht="14.4" customHeight="1">
      <c r="A316" s="2">
        <f>ROW()-4</f>
        <v>312</v>
      </c>
      <c r="B316" s="39" t="e">
        <f>R316/L316</f>
        <v>#DIV/0!</v>
      </c>
      <c r="C316" s="2">
        <f>IF(ISBLANK($B316),-1,IFERROR(IF($B316&gt;0.9,2,IF($B316&lt;0.3,1,0)),-1))</f>
        <v>-1</v>
      </c>
      <c r="D316" s="2"/>
    </row>
    <row r="317" spans="1:4" ht="14.4" customHeight="1">
      <c r="A317" s="2">
        <f>ROW()-4</f>
        <v>313</v>
      </c>
      <c r="B317" s="39" t="e">
        <f>R317/L317</f>
        <v>#DIV/0!</v>
      </c>
      <c r="C317" s="2">
        <f>IF(ISBLANK($B317),-1,IFERROR(IF($B317&gt;0.9,2,IF($B317&lt;0.3,1,0)),-1))</f>
        <v>-1</v>
      </c>
      <c r="D317" s="2"/>
    </row>
    <row r="318" spans="1:4" ht="14.4" customHeight="1">
      <c r="A318" s="2">
        <f>ROW()-4</f>
        <v>314</v>
      </c>
      <c r="B318" s="39" t="e">
        <f>R318/L318</f>
        <v>#DIV/0!</v>
      </c>
      <c r="C318" s="2">
        <f>IF(ISBLANK($B318),-1,IFERROR(IF($B318&gt;0.9,2,IF($B318&lt;0.3,1,0)),-1))</f>
        <v>-1</v>
      </c>
      <c r="D318" s="2"/>
    </row>
    <row r="319" spans="1:4" ht="14.4" customHeight="1">
      <c r="A319" s="2">
        <f>ROW()-4</f>
        <v>315</v>
      </c>
      <c r="B319" s="39" t="e">
        <f>R319/L319</f>
        <v>#DIV/0!</v>
      </c>
      <c r="C319" s="2">
        <f>IF(ISBLANK($B319),-1,IFERROR(IF($B319&gt;0.9,2,IF($B319&lt;0.3,1,0)),-1))</f>
        <v>-1</v>
      </c>
      <c r="D319" s="2"/>
    </row>
    <row r="320" spans="1:4" ht="14.4" customHeight="1">
      <c r="A320" s="2">
        <f>ROW()-4</f>
        <v>316</v>
      </c>
      <c r="B320" s="39" t="e">
        <f>R320/L320</f>
        <v>#DIV/0!</v>
      </c>
      <c r="C320" s="2">
        <f>IF(ISBLANK($B320),-1,IFERROR(IF($B320&gt;0.9,2,IF($B320&lt;0.3,1,0)),-1))</f>
        <v>-1</v>
      </c>
      <c r="D320" s="2"/>
    </row>
    <row r="321" spans="1:4" ht="14.4" customHeight="1">
      <c r="A321" s="2">
        <f>ROW()-4</f>
        <v>317</v>
      </c>
      <c r="B321" s="39" t="e">
        <f>R321/L321</f>
        <v>#DIV/0!</v>
      </c>
      <c r="C321" s="2">
        <f>IF(ISBLANK($B321),-1,IFERROR(IF($B321&gt;0.9,2,IF($B321&lt;0.3,1,0)),-1))</f>
        <v>-1</v>
      </c>
      <c r="D321" s="2"/>
    </row>
    <row r="322" spans="1:4" ht="14.4" customHeight="1">
      <c r="A322" s="2">
        <f>ROW()-4</f>
        <v>318</v>
      </c>
      <c r="B322" s="39" t="e">
        <f>R322/L322</f>
        <v>#DIV/0!</v>
      </c>
      <c r="C322" s="2">
        <f>IF(ISBLANK($B322),-1,IFERROR(IF($B322&gt;0.9,2,IF($B322&lt;0.3,1,0)),-1))</f>
        <v>-1</v>
      </c>
      <c r="D322" s="2"/>
    </row>
    <row r="323" spans="1:4" ht="14.4" customHeight="1">
      <c r="A323" s="2">
        <f>ROW()-4</f>
        <v>319</v>
      </c>
      <c r="B323" s="39" t="e">
        <f>R323/L323</f>
        <v>#DIV/0!</v>
      </c>
      <c r="C323" s="2">
        <f>IF(ISBLANK($B323),-1,IFERROR(IF($B323&gt;0.9,2,IF($B323&lt;0.3,1,0)),-1))</f>
        <v>-1</v>
      </c>
      <c r="D323" s="2"/>
    </row>
    <row r="324" spans="1:4" ht="14.4" customHeight="1">
      <c r="A324" s="2">
        <f>ROW()-4</f>
        <v>320</v>
      </c>
      <c r="B324" s="39" t="e">
        <f>R324/L324</f>
        <v>#DIV/0!</v>
      </c>
      <c r="C324" s="2">
        <f>IF(ISBLANK($B324),-1,IFERROR(IF($B324&gt;0.9,2,IF($B324&lt;0.3,1,0)),-1))</f>
        <v>-1</v>
      </c>
      <c r="D324" s="2"/>
    </row>
    <row r="325" spans="1:4" ht="14.4" customHeight="1">
      <c r="A325" s="2">
        <f>ROW()-4</f>
        <v>321</v>
      </c>
      <c r="B325" s="39" t="e">
        <f>R325/L325</f>
        <v>#DIV/0!</v>
      </c>
      <c r="C325" s="2">
        <f>IF(ISBLANK($B325),-1,IFERROR(IF($B325&gt;0.9,2,IF($B325&lt;0.3,1,0)),-1))</f>
        <v>-1</v>
      </c>
      <c r="D325" s="2"/>
    </row>
    <row r="326" spans="1:4" ht="14.4" customHeight="1">
      <c r="A326" s="2">
        <f>ROW()-4</f>
        <v>322</v>
      </c>
      <c r="B326" s="39" t="e">
        <f>R326/L326</f>
        <v>#DIV/0!</v>
      </c>
      <c r="C326" s="2">
        <f>IF(ISBLANK($B326),-1,IFERROR(IF($B326&gt;0.9,2,IF($B326&lt;0.3,1,0)),-1))</f>
        <v>-1</v>
      </c>
      <c r="D326" s="2"/>
    </row>
    <row r="327" spans="1:4" ht="14.4" customHeight="1">
      <c r="A327" s="2">
        <f>ROW()-4</f>
        <v>323</v>
      </c>
      <c r="B327" s="39" t="e">
        <f>R327/L327</f>
        <v>#DIV/0!</v>
      </c>
      <c r="C327" s="2">
        <f>IF(ISBLANK($B327),-1,IFERROR(IF($B327&gt;0.9,2,IF($B327&lt;0.3,1,0)),-1))</f>
        <v>-1</v>
      </c>
      <c r="D327" s="2"/>
    </row>
    <row r="328" spans="1:4" ht="14.4" customHeight="1">
      <c r="A328" s="2">
        <f>ROW()-4</f>
        <v>324</v>
      </c>
      <c r="B328" s="39" t="e">
        <f>R328/L328</f>
        <v>#DIV/0!</v>
      </c>
      <c r="C328" s="2">
        <f>IF(ISBLANK($B328),-1,IFERROR(IF($B328&gt;0.9,2,IF($B328&lt;0.3,1,0)),-1))</f>
        <v>-1</v>
      </c>
      <c r="D328" s="2"/>
    </row>
    <row r="329" spans="1:4" ht="14.4" customHeight="1">
      <c r="A329" s="2">
        <f>ROW()-4</f>
        <v>325</v>
      </c>
      <c r="B329" s="39" t="e">
        <f>R329/L329</f>
        <v>#DIV/0!</v>
      </c>
      <c r="C329" s="2">
        <f>IF(ISBLANK($B329),-1,IFERROR(IF($B329&gt;0.9,2,IF($B329&lt;0.3,1,0)),-1))</f>
        <v>-1</v>
      </c>
      <c r="D329" s="2"/>
    </row>
    <row r="330" spans="1:4" ht="14.4" customHeight="1">
      <c r="A330" s="2">
        <f>ROW()-4</f>
        <v>326</v>
      </c>
      <c r="B330" s="39" t="e">
        <f>R330/L330</f>
        <v>#DIV/0!</v>
      </c>
      <c r="C330" s="2">
        <f>IF(ISBLANK($B330),-1,IFERROR(IF($B330&gt;0.9,2,IF($B330&lt;0.3,1,0)),-1))</f>
        <v>-1</v>
      </c>
      <c r="D330" s="2"/>
    </row>
    <row r="331" spans="1:4" ht="14.4" customHeight="1">
      <c r="A331" s="2">
        <f>ROW()-4</f>
        <v>327</v>
      </c>
      <c r="B331" s="39" t="e">
        <f>R331/L331</f>
        <v>#DIV/0!</v>
      </c>
      <c r="C331" s="2">
        <f>IF(ISBLANK($B331),-1,IFERROR(IF($B331&gt;0.9,2,IF($B331&lt;0.3,1,0)),-1))</f>
        <v>-1</v>
      </c>
      <c r="D331" s="2"/>
    </row>
    <row r="332" spans="1:4" ht="14.4" customHeight="1">
      <c r="A332" s="2">
        <f>ROW()-4</f>
        <v>328</v>
      </c>
      <c r="B332" s="39" t="e">
        <f>R332/L332</f>
        <v>#DIV/0!</v>
      </c>
      <c r="C332" s="2">
        <f>IF(ISBLANK($B332),-1,IFERROR(IF($B332&gt;0.9,2,IF($B332&lt;0.3,1,0)),-1))</f>
        <v>-1</v>
      </c>
      <c r="D332" s="2"/>
    </row>
    <row r="333" spans="1:4" ht="14.4" customHeight="1">
      <c r="A333" s="2">
        <f>ROW()-4</f>
        <v>329</v>
      </c>
      <c r="B333" s="39" t="e">
        <f>R333/L333</f>
        <v>#DIV/0!</v>
      </c>
      <c r="C333" s="2">
        <f>IF(ISBLANK($B333),-1,IFERROR(IF($B333&gt;0.9,2,IF($B333&lt;0.3,1,0)),-1))</f>
        <v>-1</v>
      </c>
      <c r="D333" s="2"/>
    </row>
    <row r="334" spans="1:4" ht="14.4" customHeight="1">
      <c r="A334" s="2">
        <f>ROW()-4</f>
        <v>330</v>
      </c>
      <c r="B334" s="39" t="e">
        <f>R334/L334</f>
        <v>#DIV/0!</v>
      </c>
      <c r="C334" s="2">
        <f>IF(ISBLANK($B334),-1,IFERROR(IF($B334&gt;0.9,2,IF($B334&lt;0.3,1,0)),-1))</f>
        <v>-1</v>
      </c>
      <c r="D334" s="2"/>
    </row>
    <row r="335" spans="1:4" ht="14.4" customHeight="1">
      <c r="A335" s="2">
        <f>ROW()-4</f>
        <v>331</v>
      </c>
      <c r="B335" s="39" t="e">
        <f>R335/L335</f>
        <v>#DIV/0!</v>
      </c>
      <c r="C335" s="2">
        <f>IF(ISBLANK($B335),-1,IFERROR(IF($B335&gt;0.9,2,IF($B335&lt;0.3,1,0)),-1))</f>
        <v>-1</v>
      </c>
      <c r="D335" s="2"/>
    </row>
    <row r="336" spans="1:4" ht="14.4" customHeight="1">
      <c r="A336" s="2">
        <f>ROW()-4</f>
        <v>332</v>
      </c>
      <c r="B336" s="39" t="e">
        <f>R336/L336</f>
        <v>#DIV/0!</v>
      </c>
      <c r="C336" s="2">
        <f>IF(ISBLANK($B336),-1,IFERROR(IF($B336&gt;0.9,2,IF($B336&lt;0.3,1,0)),-1))</f>
        <v>-1</v>
      </c>
      <c r="D336" s="2"/>
    </row>
    <row r="337" spans="1:4" ht="14.4" customHeight="1">
      <c r="A337" s="2">
        <f>ROW()-4</f>
        <v>333</v>
      </c>
      <c r="B337" s="39" t="e">
        <f>R337/L337</f>
        <v>#DIV/0!</v>
      </c>
      <c r="C337" s="2">
        <f>IF(ISBLANK($B337),-1,IFERROR(IF($B337&gt;0.9,2,IF($B337&lt;0.3,1,0)),-1))</f>
        <v>-1</v>
      </c>
      <c r="D337" s="2"/>
    </row>
    <row r="338" spans="1:4" ht="14.4" customHeight="1">
      <c r="A338" s="2">
        <f>ROW()-4</f>
        <v>334</v>
      </c>
      <c r="B338" s="39" t="e">
        <f>R338/L338</f>
        <v>#DIV/0!</v>
      </c>
      <c r="C338" s="2">
        <f>IF(ISBLANK($B338),-1,IFERROR(IF($B338&gt;0.9,2,IF($B338&lt;0.3,1,0)),-1))</f>
        <v>-1</v>
      </c>
      <c r="D338" s="2"/>
    </row>
    <row r="339" spans="1:4" ht="14.4" customHeight="1">
      <c r="A339" s="2">
        <f>ROW()-4</f>
        <v>335</v>
      </c>
      <c r="B339" s="39" t="e">
        <f>R339/L339</f>
        <v>#DIV/0!</v>
      </c>
      <c r="C339" s="2">
        <f>IF(ISBLANK($B339),-1,IFERROR(IF($B339&gt;0.9,2,IF($B339&lt;0.3,1,0)),-1))</f>
        <v>-1</v>
      </c>
      <c r="D339" s="2"/>
    </row>
    <row r="340" spans="1:4" ht="14.4" customHeight="1">
      <c r="A340" s="2">
        <f>ROW()-4</f>
        <v>336</v>
      </c>
      <c r="B340" s="39" t="e">
        <f>R340/L340</f>
        <v>#DIV/0!</v>
      </c>
      <c r="C340" s="2">
        <f>IF(ISBLANK($B340),-1,IFERROR(IF($B340&gt;0.9,2,IF($B340&lt;0.3,1,0)),-1))</f>
        <v>-1</v>
      </c>
      <c r="D340" s="2"/>
    </row>
    <row r="341" spans="1:4" ht="14.4" customHeight="1">
      <c r="A341" s="2">
        <f>ROW()-4</f>
        <v>337</v>
      </c>
      <c r="B341" s="39" t="e">
        <f>R341/L341</f>
        <v>#DIV/0!</v>
      </c>
      <c r="C341" s="2">
        <f>IF(ISBLANK($B341),-1,IFERROR(IF($B341&gt;0.9,2,IF($B341&lt;0.3,1,0)),-1))</f>
        <v>-1</v>
      </c>
      <c r="D341" s="2"/>
    </row>
    <row r="342" spans="1:4" ht="14.4" customHeight="1">
      <c r="A342" s="2">
        <f>ROW()-4</f>
        <v>338</v>
      </c>
      <c r="B342" s="39" t="e">
        <f>R342/L342</f>
        <v>#DIV/0!</v>
      </c>
      <c r="C342" s="2">
        <f>IF(ISBLANK($B342),-1,IFERROR(IF($B342&gt;0.9,2,IF($B342&lt;0.3,1,0)),-1))</f>
        <v>-1</v>
      </c>
      <c r="D342" s="2"/>
    </row>
    <row r="343" spans="1:4" ht="14.4" customHeight="1">
      <c r="A343" s="2">
        <f>ROW()-4</f>
        <v>339</v>
      </c>
      <c r="B343" s="39" t="e">
        <f>R343/L343</f>
        <v>#DIV/0!</v>
      </c>
      <c r="C343" s="2">
        <f>IF(ISBLANK($B343),-1,IFERROR(IF($B343&gt;0.9,2,IF($B343&lt;0.3,1,0)),-1))</f>
        <v>-1</v>
      </c>
      <c r="D343" s="2"/>
    </row>
    <row r="344" spans="1:4" ht="14.4" customHeight="1">
      <c r="A344" s="2">
        <f>ROW()-4</f>
        <v>340</v>
      </c>
      <c r="B344" s="39" t="e">
        <f>R344/L344</f>
        <v>#DIV/0!</v>
      </c>
      <c r="C344" s="2">
        <f>IF(ISBLANK($B344),-1,IFERROR(IF($B344&gt;0.9,2,IF($B344&lt;0.3,1,0)),-1))</f>
        <v>-1</v>
      </c>
      <c r="D344" s="2"/>
    </row>
    <row r="345" spans="1:4" ht="14.4" customHeight="1">
      <c r="A345" s="2">
        <f>ROW()-4</f>
        <v>341</v>
      </c>
      <c r="C345" s="2">
        <f>IF(ISBLANK($B345),-1,IFERROR(IF($B345&gt;0.9,2,IF($B345&lt;0.3,1,0)),-1))</f>
        <v>-1</v>
      </c>
      <c r="D345" s="2"/>
    </row>
    <row r="346" spans="1:4" ht="14.4" customHeight="1">
      <c r="A346" s="2">
        <f>ROW()-4</f>
        <v>342</v>
      </c>
      <c r="C346" s="2">
        <f>IF(ISBLANK($B346),-1,IFERROR(IF($B346&gt;0.9,2,IF($B346&lt;0.3,1,0)),-1))</f>
        <v>-1</v>
      </c>
      <c r="D346" s="2"/>
    </row>
    <row r="347" spans="1:4" ht="14.4" customHeight="1">
      <c r="A347" s="2">
        <f>ROW()-4</f>
        <v>343</v>
      </c>
      <c r="C347" s="2">
        <f>IF(ISBLANK($B347),-1,IFERROR(IF($B347&gt;0.9,2,IF($B347&lt;0.3,1,0)),-1))</f>
        <v>-1</v>
      </c>
      <c r="D347" s="2"/>
    </row>
    <row r="348" spans="1:4" ht="14.4" customHeight="1">
      <c r="A348" s="2">
        <f>ROW()-4</f>
        <v>344</v>
      </c>
      <c r="C348" s="2">
        <f>IF(ISBLANK($B348),-1,IFERROR(IF($B348&gt;0.9,2,IF($B348&lt;0.3,1,0)),-1))</f>
        <v>-1</v>
      </c>
      <c r="D348" s="2"/>
    </row>
    <row r="349" spans="1:4" ht="14.4" customHeight="1">
      <c r="A349" s="2">
        <f>ROW()-4</f>
        <v>345</v>
      </c>
      <c r="C349" s="2">
        <f>IF(ISBLANK($B349),-1,IFERROR(IF($B349&gt;0.9,2,IF($B349&lt;0.3,1,0)),-1))</f>
        <v>-1</v>
      </c>
      <c r="D349" s="2"/>
    </row>
    <row r="350" spans="1:4" ht="14.4" customHeight="1">
      <c r="A350" s="2">
        <f>ROW()-4</f>
        <v>346</v>
      </c>
      <c r="C350" s="2">
        <f>IF(ISBLANK($B350),-1,IFERROR(IF($B350&gt;0.9,2,IF($B350&lt;0.3,1,0)),-1))</f>
        <v>-1</v>
      </c>
      <c r="D350" s="2"/>
    </row>
    <row r="351" spans="1:4" ht="14.4" customHeight="1">
      <c r="A351" s="2">
        <f>ROW()-4</f>
        <v>347</v>
      </c>
      <c r="C351" s="2">
        <f>IF(ISBLANK($B351),-1,IFERROR(IF($B351&gt;0.9,2,IF($B351&lt;0.3,1,0)),-1))</f>
        <v>-1</v>
      </c>
      <c r="D351" s="2"/>
    </row>
    <row r="352" spans="1:4" ht="14.4" customHeight="1">
      <c r="A352" s="2">
        <f>ROW()-4</f>
        <v>348</v>
      </c>
      <c r="C352" s="2">
        <f>IF(ISBLANK($B352),-1,IFERROR(IF($B352&gt;0.9,2,IF($B352&lt;0.3,1,0)),-1))</f>
        <v>-1</v>
      </c>
      <c r="D352" s="2"/>
    </row>
    <row r="353" spans="1:4" ht="14.4" customHeight="1">
      <c r="A353" s="2">
        <f>ROW()-4</f>
        <v>349</v>
      </c>
      <c r="C353" s="2">
        <f>IF(ISBLANK($B353),-1,IFERROR(IF($B353&gt;0.9,2,IF($B353&lt;0.3,1,0)),-1))</f>
        <v>-1</v>
      </c>
      <c r="D353" s="2"/>
    </row>
    <row r="354" spans="1:4" ht="14.4" customHeight="1">
      <c r="A354" s="2">
        <f>ROW()-4</f>
        <v>350</v>
      </c>
      <c r="C354" s="2">
        <f>IF(ISBLANK($B354),-1,IFERROR(IF($B354&gt;0.9,2,IF($B354&lt;0.3,1,0)),-1))</f>
        <v>-1</v>
      </c>
      <c r="D354" s="2"/>
    </row>
    <row r="355" spans="1:4" ht="14.4" customHeight="1">
      <c r="A355" s="2">
        <f>ROW()-4</f>
        <v>351</v>
      </c>
      <c r="C355" s="2">
        <f>IF(ISBLANK($B355),-1,IFERROR(IF($B355&gt;0.9,2,IF($B355&lt;0.3,1,0)),-1))</f>
        <v>-1</v>
      </c>
      <c r="D355" s="2"/>
    </row>
    <row r="356" spans="1:4" ht="14.4" customHeight="1">
      <c r="A356" s="2">
        <f>ROW()-4</f>
        <v>352</v>
      </c>
      <c r="C356" s="2">
        <f>IF(ISBLANK($B356),-1,IFERROR(IF($B356&gt;0.9,2,IF($B356&lt;0.3,1,0)),-1))</f>
        <v>-1</v>
      </c>
      <c r="D356" s="2"/>
    </row>
    <row r="357" spans="1:4" ht="14.4" customHeight="1">
      <c r="A357" s="2">
        <f>ROW()-4</f>
        <v>353</v>
      </c>
      <c r="C357" s="2">
        <f>IF(ISBLANK($B357),-1,IFERROR(IF($B357&gt;0.9,2,IF($B357&lt;0.3,1,0)),-1))</f>
        <v>-1</v>
      </c>
      <c r="D357" s="2"/>
    </row>
    <row r="358" spans="1:4" ht="14.4" customHeight="1">
      <c r="A358" s="2">
        <f>ROW()-4</f>
        <v>354</v>
      </c>
      <c r="C358" s="2">
        <f>IF(ISBLANK($B358),-1,IFERROR(IF($B358&gt;0.9,2,IF($B358&lt;0.3,1,0)),-1))</f>
        <v>-1</v>
      </c>
      <c r="D358" s="2"/>
    </row>
    <row r="359" spans="1:4" ht="14.4" customHeight="1">
      <c r="A359" s="2">
        <f>ROW()-4</f>
        <v>355</v>
      </c>
      <c r="C359" s="2">
        <f>IF(ISBLANK($B359),-1,IFERROR(IF($B359&gt;0.9,2,IF($B359&lt;0.3,1,0)),-1))</f>
        <v>-1</v>
      </c>
      <c r="D359" s="2"/>
    </row>
    <row r="360" spans="1:4" ht="14.4" customHeight="1">
      <c r="A360" s="2">
        <f>ROW()-4</f>
        <v>356</v>
      </c>
      <c r="C360" s="2">
        <f>IF(ISBLANK($B360),-1,IFERROR(IF($B360&gt;0.9,2,IF($B360&lt;0.3,1,0)),-1))</f>
        <v>-1</v>
      </c>
      <c r="D360" s="2"/>
    </row>
    <row r="361" spans="1:4" ht="14.4" customHeight="1">
      <c r="A361" s="2">
        <f>ROW()-4</f>
        <v>357</v>
      </c>
      <c r="C361" s="2">
        <f>IF(ISBLANK($B361),-1,IFERROR(IF($B361&gt;0.9,2,IF($B361&lt;0.3,1,0)),-1))</f>
        <v>-1</v>
      </c>
      <c r="D361" s="2"/>
    </row>
    <row r="362" spans="1:4" ht="14.4" customHeight="1">
      <c r="A362" s="2">
        <f>ROW()-4</f>
        <v>358</v>
      </c>
      <c r="C362" s="2">
        <f>IF(ISBLANK($B362),-1,IFERROR(IF($B362&gt;0.9,2,IF($B362&lt;0.3,1,0)),-1))</f>
        <v>-1</v>
      </c>
      <c r="D362" s="2"/>
    </row>
    <row r="363" spans="1:4" ht="14.4" customHeight="1">
      <c r="A363" s="2">
        <f>ROW()-4</f>
        <v>359</v>
      </c>
      <c r="C363" s="2">
        <f>IF(ISBLANK($B363),-1,IFERROR(IF($B363&gt;0.9,2,IF($B363&lt;0.3,1,0)),-1))</f>
        <v>-1</v>
      </c>
      <c r="D363" s="2"/>
    </row>
    <row r="364" spans="1:4" ht="14.4" customHeight="1">
      <c r="A364" s="2">
        <f>ROW()-4</f>
        <v>360</v>
      </c>
      <c r="C364" s="2">
        <f>IF(ISBLANK($B364),-1,IFERROR(IF($B364&gt;0.9,2,IF($B364&lt;0.3,1,0)),-1))</f>
        <v>-1</v>
      </c>
      <c r="D364" s="2"/>
    </row>
    <row r="365" spans="1:4" ht="14.4" customHeight="1">
      <c r="A365" s="2">
        <f>ROW()-4</f>
        <v>361</v>
      </c>
      <c r="C365" s="2">
        <f>IF(ISBLANK($B365),-1,IFERROR(IF($B365&gt;0.9,2,IF($B365&lt;0.3,1,0)),-1))</f>
        <v>-1</v>
      </c>
      <c r="D365" s="2"/>
    </row>
    <row r="366" spans="1:4" ht="14.4" customHeight="1">
      <c r="A366" s="2">
        <f>ROW()-4</f>
        <v>362</v>
      </c>
      <c r="C366" s="2">
        <f>IF(ISBLANK($B366),-1,IFERROR(IF($B366&gt;0.9,2,IF($B366&lt;0.3,1,0)),-1))</f>
        <v>-1</v>
      </c>
      <c r="D366" s="2"/>
    </row>
    <row r="367" spans="1:4" ht="14.4" customHeight="1">
      <c r="A367" s="2">
        <f>ROW()-4</f>
        <v>363</v>
      </c>
      <c r="C367" s="2">
        <f>IF(ISBLANK($B367),-1,IFERROR(IF($B367&gt;0.9,2,IF($B367&lt;0.3,1,0)),-1))</f>
        <v>-1</v>
      </c>
      <c r="D367" s="2"/>
    </row>
    <row r="368" spans="1:4" ht="14.4" customHeight="1">
      <c r="A368" s="2">
        <f>ROW()-4</f>
        <v>364</v>
      </c>
      <c r="C368" s="2">
        <f>IF(ISBLANK($B368),-1,IFERROR(IF($B368&gt;0.9,2,IF($B368&lt;0.3,1,0)),-1))</f>
        <v>-1</v>
      </c>
      <c r="D368" s="2"/>
    </row>
    <row r="369" spans="1:4" ht="14.4" customHeight="1">
      <c r="A369" s="2">
        <f>ROW()-4</f>
        <v>365</v>
      </c>
      <c r="C369" s="2">
        <f>IF(ISBLANK($B369),-1,IFERROR(IF($B369&gt;0.9,2,IF($B369&lt;0.3,1,0)),-1))</f>
        <v>-1</v>
      </c>
      <c r="D369" s="2"/>
    </row>
    <row r="370" spans="1:4" ht="14.4" customHeight="1">
      <c r="A370" s="2">
        <f>ROW()-4</f>
        <v>366</v>
      </c>
      <c r="C370" s="2">
        <f>IF(ISBLANK($B370),-1,IFERROR(IF($B370&gt;0.9,2,IF($B370&lt;0.3,1,0)),-1))</f>
        <v>-1</v>
      </c>
      <c r="D370" s="2"/>
    </row>
    <row r="371" spans="1:4" ht="14.4" customHeight="1">
      <c r="A371" s="2">
        <f>ROW()-4</f>
        <v>367</v>
      </c>
      <c r="C371" s="2">
        <f>IF(ISBLANK($B371),-1,IFERROR(IF($B371&gt;0.9,2,IF($B371&lt;0.3,1,0)),-1))</f>
        <v>-1</v>
      </c>
      <c r="D371" s="2"/>
    </row>
    <row r="372" spans="1:4" ht="14.4" customHeight="1">
      <c r="A372" s="2">
        <f>ROW()-4</f>
        <v>368</v>
      </c>
      <c r="C372" s="2">
        <f>IF(ISBLANK($B372),-1,IFERROR(IF($B372&gt;0.9,2,IF($B372&lt;0.3,1,0)),-1))</f>
        <v>-1</v>
      </c>
      <c r="D372" s="2"/>
    </row>
    <row r="373" spans="1:4" ht="14.4" customHeight="1">
      <c r="A373" s="2">
        <f>ROW()-4</f>
        <v>369</v>
      </c>
      <c r="C373" s="2">
        <f>IF(ISBLANK($B373),-1,IFERROR(IF($B373&gt;0.9,2,IF($B373&lt;0.3,1,0)),-1))</f>
        <v>-1</v>
      </c>
      <c r="D373" s="2"/>
    </row>
    <row r="374" spans="1:4" ht="14.4" customHeight="1">
      <c r="A374" s="2">
        <f>ROW()-4</f>
        <v>370</v>
      </c>
      <c r="C374" s="2">
        <f>IF(ISBLANK($B374),-1,IFERROR(IF($B374&gt;0.9,2,IF($B374&lt;0.3,1,0)),-1))</f>
        <v>-1</v>
      </c>
      <c r="D374" s="2"/>
    </row>
    <row r="375" spans="1:4" ht="14.4" customHeight="1">
      <c r="A375" s="2">
        <f>ROW()-4</f>
        <v>371</v>
      </c>
      <c r="C375" s="2">
        <f>IF(ISBLANK($B375),-1,IFERROR(IF($B375&gt;0.9,2,IF($B375&lt;0.3,1,0)),-1))</f>
        <v>-1</v>
      </c>
      <c r="D375" s="2"/>
    </row>
    <row r="376" spans="1:4" ht="14.4" customHeight="1">
      <c r="A376" s="2">
        <f>ROW()-4</f>
        <v>372</v>
      </c>
      <c r="C376" s="2">
        <f>IF(ISBLANK($B376),-1,IFERROR(IF($B376&gt;0.9,2,IF($B376&lt;0.3,1,0)),-1))</f>
        <v>-1</v>
      </c>
      <c r="D376" s="2"/>
    </row>
    <row r="377" spans="1:4" ht="14.4" customHeight="1">
      <c r="A377" s="2">
        <f>ROW()-4</f>
        <v>373</v>
      </c>
      <c r="C377" s="2">
        <f>IF(ISBLANK($B377),-1,IFERROR(IF($B377&gt;0.9,2,IF($B377&lt;0.3,1,0)),-1))</f>
        <v>-1</v>
      </c>
      <c r="D377" s="2"/>
    </row>
    <row r="378" spans="1:4" ht="14.4" customHeight="1">
      <c r="A378" s="2">
        <f>ROW()-4</f>
        <v>374</v>
      </c>
      <c r="C378" s="2">
        <f>IF(ISBLANK($B378),-1,IFERROR(IF($B378&gt;0.9,2,IF($B378&lt;0.3,1,0)),-1))</f>
        <v>-1</v>
      </c>
      <c r="D378" s="2"/>
    </row>
    <row r="379" spans="1:4" ht="14.4" customHeight="1">
      <c r="A379" s="2">
        <f>ROW()-4</f>
        <v>375</v>
      </c>
      <c r="C379" s="2">
        <f>IF(ISBLANK($B379),-1,IFERROR(IF($B379&gt;0.9,2,IF($B379&lt;0.3,1,0)),-1))</f>
        <v>-1</v>
      </c>
      <c r="D379" s="2"/>
    </row>
    <row r="380" spans="1:4" ht="14.4" customHeight="1">
      <c r="A380" s="2">
        <f>ROW()-4</f>
        <v>376</v>
      </c>
      <c r="C380" s="2">
        <f>IF(ISBLANK($B380),-1,IFERROR(IF($B380&gt;0.9,2,IF($B380&lt;0.3,1,0)),-1))</f>
        <v>-1</v>
      </c>
      <c r="D380" s="2"/>
    </row>
    <row r="381" spans="1:4" ht="14.4" customHeight="1">
      <c r="A381" s="2">
        <f>ROW()-4</f>
        <v>377</v>
      </c>
      <c r="C381" s="2">
        <f>IF(ISBLANK($B381),-1,IFERROR(IF($B381&gt;0.9,2,IF($B381&lt;0.3,1,0)),-1))</f>
        <v>-1</v>
      </c>
      <c r="D381" s="2"/>
    </row>
    <row r="382" spans="1:4" ht="14.4" customHeight="1">
      <c r="A382" s="2">
        <f>ROW()-4</f>
        <v>378</v>
      </c>
      <c r="C382" s="2">
        <f>IF(ISBLANK($B382),-1,IFERROR(IF($B382&gt;0.9,2,IF($B382&lt;0.3,1,0)),-1))</f>
        <v>-1</v>
      </c>
      <c r="D382" s="2"/>
    </row>
    <row r="383" spans="1:4" ht="14.4" customHeight="1">
      <c r="A383" s="2">
        <f>ROW()-4</f>
        <v>379</v>
      </c>
      <c r="C383" s="2">
        <f>IF(ISBLANK($B383),-1,IFERROR(IF($B383&gt;0.9,2,IF($B383&lt;0.3,1,0)),-1))</f>
        <v>-1</v>
      </c>
      <c r="D383" s="2"/>
    </row>
    <row r="384" spans="1:4" ht="14.4" customHeight="1">
      <c r="A384" s="2">
        <f>ROW()-4</f>
        <v>380</v>
      </c>
      <c r="C384" s="2">
        <f>IF(ISBLANK($B384),-1,IFERROR(IF($B384&gt;0.9,2,IF($B384&lt;0.3,1,0)),-1))</f>
        <v>-1</v>
      </c>
      <c r="D384" s="2"/>
    </row>
    <row r="385" spans="1:4" ht="14.4" customHeight="1">
      <c r="A385" s="2">
        <f>ROW()-4</f>
        <v>381</v>
      </c>
      <c r="C385" s="2">
        <f>IF(ISBLANK($B385),-1,IFERROR(IF($B385&gt;0.9,2,IF($B385&lt;0.3,1,0)),-1))</f>
        <v>-1</v>
      </c>
      <c r="D385" s="2"/>
    </row>
    <row r="386" spans="1:4" ht="14.4" customHeight="1">
      <c r="A386" s="2">
        <f>ROW()-4</f>
        <v>382</v>
      </c>
      <c r="C386" s="2">
        <f>IF(ISBLANK($B386),-1,IFERROR(IF($B386&gt;0.9,2,IF($B386&lt;0.3,1,0)),-1))</f>
        <v>-1</v>
      </c>
      <c r="D386" s="2"/>
    </row>
    <row r="387" spans="1:4" ht="14.4" customHeight="1">
      <c r="A387" s="2">
        <f>ROW()-4</f>
        <v>383</v>
      </c>
      <c r="C387" s="2">
        <f>IF(ISBLANK($B387),-1,IFERROR(IF($B387&gt;0.9,2,IF($B387&lt;0.3,1,0)),-1))</f>
        <v>-1</v>
      </c>
      <c r="D387" s="2"/>
    </row>
    <row r="388" spans="1:4" ht="14.4" customHeight="1">
      <c r="A388" s="2">
        <f>ROW()-4</f>
        <v>384</v>
      </c>
      <c r="C388" s="2">
        <f>IF(ISBLANK($B388),-1,IFERROR(IF($B388&gt;0.9,2,IF($B388&lt;0.3,1,0)),-1))</f>
        <v>-1</v>
      </c>
      <c r="D388" s="2"/>
    </row>
    <row r="389" spans="1:4" ht="14.4" customHeight="1">
      <c r="A389" s="2">
        <f>ROW()-4</f>
        <v>385</v>
      </c>
      <c r="C389" s="2">
        <f>IF(ISBLANK($B389),-1,IFERROR(IF($B389&gt;0.9,2,IF($B389&lt;0.3,1,0)),-1))</f>
        <v>-1</v>
      </c>
      <c r="D389" s="2"/>
    </row>
    <row r="390" spans="1:4" ht="14.4" customHeight="1">
      <c r="A390" s="2">
        <f>ROW()-4</f>
        <v>386</v>
      </c>
      <c r="C390" s="2">
        <f>IF(ISBLANK($B390),-1,IFERROR(IF($B390&gt;0.9,2,IF($B390&lt;0.3,1,0)),-1))</f>
        <v>-1</v>
      </c>
      <c r="D390" s="2"/>
    </row>
    <row r="391" spans="1:4" ht="14.4" customHeight="1">
      <c r="A391" s="2">
        <f>ROW()-4</f>
        <v>387</v>
      </c>
      <c r="C391" s="2">
        <f>IF(ISBLANK($B391),-1,IFERROR(IF($B391&gt;0.9,2,IF($B391&lt;0.3,1,0)),-1))</f>
        <v>-1</v>
      </c>
      <c r="D391" s="2"/>
    </row>
    <row r="392" spans="1:4" ht="14.4" customHeight="1">
      <c r="A392" s="2">
        <f>ROW()-4</f>
        <v>388</v>
      </c>
      <c r="C392" s="2">
        <f>IF(ISBLANK($B392),-1,IFERROR(IF($B392&gt;0.9,2,IF($B392&lt;0.3,1,0)),-1))</f>
        <v>-1</v>
      </c>
      <c r="D392" s="2"/>
    </row>
    <row r="393" spans="1:4" ht="14.4" customHeight="1">
      <c r="A393" s="2">
        <f>ROW()-4</f>
        <v>389</v>
      </c>
      <c r="C393" s="2">
        <f>IF(ISBLANK($B393),-1,IFERROR(IF($B393&gt;0.9,2,IF($B393&lt;0.3,1,0)),-1))</f>
        <v>-1</v>
      </c>
      <c r="D393" s="2"/>
    </row>
    <row r="394" spans="1:4" ht="14.4" customHeight="1">
      <c r="A394" s="2">
        <f>ROW()-4</f>
        <v>390</v>
      </c>
      <c r="C394" s="2">
        <f>IF(ISBLANK($B394),-1,IFERROR(IF($B394&gt;0.9,2,IF($B394&lt;0.3,1,0)),-1))</f>
        <v>-1</v>
      </c>
      <c r="D394" s="2"/>
    </row>
    <row r="395" spans="1:4" ht="14.4" customHeight="1">
      <c r="A395" s="2">
        <f>ROW()-4</f>
        <v>391</v>
      </c>
      <c r="C395" s="2">
        <f>IF(ISBLANK($B395),-1,IFERROR(IF($B395&gt;0.9,2,IF($B395&lt;0.3,1,0)),-1))</f>
        <v>-1</v>
      </c>
      <c r="D395" s="2"/>
    </row>
    <row r="396" spans="1:4" ht="14.4" customHeight="1">
      <c r="A396" s="2">
        <f>ROW()-4</f>
        <v>392</v>
      </c>
      <c r="C396" s="2">
        <f>IF(ISBLANK($B396),-1,IFERROR(IF($B396&gt;0.9,2,IF($B396&lt;0.3,1,0)),-1))</f>
        <v>-1</v>
      </c>
      <c r="D396" s="2"/>
    </row>
    <row r="397" spans="1:4" ht="14.4" customHeight="1">
      <c r="A397" s="2">
        <f>ROW()-4</f>
        <v>393</v>
      </c>
      <c r="C397" s="2">
        <f>IF(ISBLANK($B397),-1,IFERROR(IF($B397&gt;0.9,2,IF($B397&lt;0.3,1,0)),-1))</f>
        <v>-1</v>
      </c>
      <c r="D397" s="2"/>
    </row>
    <row r="398" spans="1:4" ht="14.4" customHeight="1">
      <c r="A398" s="2">
        <f>ROW()-4</f>
        <v>394</v>
      </c>
      <c r="C398" s="2">
        <f>IF(ISBLANK($B398),-1,IFERROR(IF($B398&gt;0.9,2,IF($B398&lt;0.3,1,0)),-1))</f>
        <v>-1</v>
      </c>
      <c r="D398" s="2"/>
    </row>
    <row r="399" spans="1:4" ht="14.4" customHeight="1">
      <c r="A399" s="2">
        <f>ROW()-4</f>
        <v>395</v>
      </c>
      <c r="C399" s="2">
        <f>IF(ISBLANK($B399),-1,IFERROR(IF($B399&gt;0.9,2,IF($B399&lt;0.3,1,0)),-1))</f>
        <v>-1</v>
      </c>
      <c r="D399" s="2"/>
    </row>
    <row r="400" spans="1:4" ht="14.4" customHeight="1">
      <c r="A400" s="2">
        <f>ROW()-4</f>
        <v>396</v>
      </c>
      <c r="C400" s="2">
        <f>IF(ISBLANK($B400),-1,IFERROR(IF($B400&gt;0.9,2,IF($B400&lt;0.3,1,0)),-1))</f>
        <v>-1</v>
      </c>
      <c r="D400" s="2"/>
    </row>
    <row r="401" spans="1:4" ht="14.4" customHeight="1">
      <c r="A401" s="2">
        <f>ROW()-4</f>
        <v>397</v>
      </c>
      <c r="C401" s="2">
        <f>IF(ISBLANK($B401),-1,IFERROR(IF($B401&gt;0.9,2,IF($B401&lt;0.3,1,0)),-1))</f>
        <v>-1</v>
      </c>
      <c r="D401" s="2"/>
    </row>
    <row r="402" spans="1:4" ht="14.4" customHeight="1">
      <c r="A402" s="2">
        <f>ROW()-4</f>
        <v>398</v>
      </c>
      <c r="C402" s="2">
        <f>IF(ISBLANK($B402),-1,IFERROR(IF($B402&gt;0.9,2,IF($B402&lt;0.3,1,0)),-1))</f>
        <v>-1</v>
      </c>
      <c r="D402" s="2"/>
    </row>
    <row r="403" spans="1:4" ht="14.4" customHeight="1">
      <c r="A403" s="2">
        <f>ROW()-4</f>
        <v>399</v>
      </c>
      <c r="C403" s="2">
        <f>IF(ISBLANK($B403),-1,IFERROR(IF($B403&gt;0.9,2,IF($B403&lt;0.3,1,0)),-1))</f>
        <v>-1</v>
      </c>
      <c r="D403" s="2"/>
    </row>
    <row r="404" spans="1:4" ht="14.4" customHeight="1">
      <c r="A404" s="2">
        <f>ROW()-4</f>
        <v>400</v>
      </c>
      <c r="C404" s="2">
        <f>IF(ISBLANK($B404),-1,IFERROR(IF($B404&gt;0.9,2,IF($B404&lt;0.3,1,0)),-1))</f>
        <v>-1</v>
      </c>
      <c r="D404" s="2"/>
    </row>
    <row r="405" spans="1:4" ht="14.4" customHeight="1">
      <c r="A405" s="2">
        <f>ROW()-4</f>
        <v>401</v>
      </c>
      <c r="C405" s="2">
        <f>IF(ISBLANK($B405),-1,IFERROR(IF($B405&gt;0.9,2,IF($B405&lt;0.3,1,0)),-1))</f>
        <v>-1</v>
      </c>
      <c r="D405" s="2"/>
    </row>
    <row r="406" spans="1:4" ht="14.4" customHeight="1">
      <c r="A406" s="2">
        <f>ROW()-4</f>
        <v>402</v>
      </c>
      <c r="C406" s="2">
        <f>IF(ISBLANK($B406),-1,IFERROR(IF($B406&gt;0.9,2,IF($B406&lt;0.3,1,0)),-1))</f>
        <v>-1</v>
      </c>
      <c r="D406" s="2"/>
    </row>
    <row r="407" spans="1:4" ht="14.4" customHeight="1">
      <c r="A407" s="2">
        <f>ROW()-4</f>
        <v>403</v>
      </c>
      <c r="C407" s="2">
        <f>IF(ISBLANK($B407),-1,IFERROR(IF($B407&gt;0.9,2,IF($B407&lt;0.3,1,0)),-1))</f>
        <v>-1</v>
      </c>
      <c r="D407" s="2"/>
    </row>
    <row r="408" spans="1:4" ht="14.4" customHeight="1">
      <c r="A408" s="2">
        <f>ROW()-4</f>
        <v>404</v>
      </c>
      <c r="C408" s="2">
        <f>IF(ISBLANK($B408),-1,IFERROR(IF($B408&gt;0.9,2,IF($B408&lt;0.3,1,0)),-1))</f>
        <v>-1</v>
      </c>
      <c r="D408" s="2"/>
    </row>
    <row r="409" spans="1:4" ht="14.4" customHeight="1">
      <c r="A409" s="2">
        <f>ROW()-4</f>
        <v>405</v>
      </c>
      <c r="C409" s="2">
        <f>IF(ISBLANK($B409),-1,IFERROR(IF($B409&gt;0.9,2,IF($B409&lt;0.3,1,0)),-1))</f>
        <v>-1</v>
      </c>
      <c r="D409" s="2"/>
    </row>
    <row r="410" spans="1:4" ht="14.4" customHeight="1">
      <c r="A410" s="2">
        <f>ROW()-4</f>
        <v>406</v>
      </c>
      <c r="C410" s="2">
        <f>IF(ISBLANK($B410),-1,IFERROR(IF($B410&gt;0.9,2,IF($B410&lt;0.3,1,0)),-1))</f>
        <v>-1</v>
      </c>
      <c r="D410" s="2"/>
    </row>
    <row r="411" spans="1:4" ht="14.4" customHeight="1">
      <c r="A411" s="2">
        <f>ROW()-4</f>
        <v>407</v>
      </c>
      <c r="C411" s="2">
        <f>IF(ISBLANK($B411),-1,IFERROR(IF($B411&gt;0.9,2,IF($B411&lt;0.3,1,0)),-1))</f>
        <v>-1</v>
      </c>
      <c r="D411" s="2"/>
    </row>
    <row r="412" spans="1:4" ht="14.4" customHeight="1">
      <c r="A412" s="2">
        <f>ROW()-4</f>
        <v>408</v>
      </c>
      <c r="C412" s="2">
        <f>IF(ISBLANK($B412),-1,IFERROR(IF($B412&gt;0.9,2,IF($B412&lt;0.3,1,0)),-1))</f>
        <v>-1</v>
      </c>
      <c r="D412" s="2"/>
    </row>
    <row r="413" spans="1:4" ht="14.4" customHeight="1">
      <c r="A413" s="2">
        <f>ROW()-4</f>
        <v>409</v>
      </c>
      <c r="C413" s="2">
        <f>IF(ISBLANK($B413),-1,IFERROR(IF($B413&gt;0.9,2,IF($B413&lt;0.3,1,0)),-1))</f>
        <v>-1</v>
      </c>
      <c r="D413" s="2"/>
    </row>
    <row r="414" spans="1:4" ht="14.4" customHeight="1">
      <c r="A414" s="2">
        <f>ROW()-4</f>
        <v>410</v>
      </c>
      <c r="C414" s="2">
        <f>IF(ISBLANK($B414),-1,IFERROR(IF($B414&gt;0.9,2,IF($B414&lt;0.3,1,0)),-1))</f>
        <v>-1</v>
      </c>
      <c r="D414" s="2"/>
    </row>
    <row r="415" spans="1:4" ht="14.4" customHeight="1">
      <c r="A415" s="2">
        <f>ROW()-4</f>
        <v>411</v>
      </c>
      <c r="C415" s="2">
        <f>IF(ISBLANK($B415),-1,IFERROR(IF($B415&gt;0.9,2,IF($B415&lt;0.3,1,0)),-1))</f>
        <v>-1</v>
      </c>
      <c r="D415" s="2"/>
    </row>
    <row r="416" spans="1:4" ht="14.4" customHeight="1">
      <c r="A416" s="2">
        <f>ROW()-4</f>
        <v>412</v>
      </c>
      <c r="C416" s="2">
        <f>IF(ISBLANK($B416),-1,IFERROR(IF($B416&gt;0.9,2,IF($B416&lt;0.3,1,0)),-1))</f>
        <v>-1</v>
      </c>
      <c r="D416" s="2"/>
    </row>
    <row r="417" spans="1:4" ht="14.4" customHeight="1">
      <c r="A417" s="2">
        <f>ROW()-4</f>
        <v>413</v>
      </c>
      <c r="C417" s="2">
        <f>IF(ISBLANK($B417),-1,IFERROR(IF($B417&gt;0.9,2,IF($B417&lt;0.3,1,0)),-1))</f>
        <v>-1</v>
      </c>
      <c r="D417" s="2"/>
    </row>
    <row r="418" spans="1:4" ht="14.4" customHeight="1">
      <c r="A418" s="2">
        <f>ROW()-4</f>
        <v>414</v>
      </c>
      <c r="C418" s="2">
        <f>IF(ISBLANK($B418),-1,IFERROR(IF($B418&gt;0.9,2,IF($B418&lt;0.3,1,0)),-1))</f>
        <v>-1</v>
      </c>
      <c r="D418" s="2"/>
    </row>
    <row r="419" spans="1:4" ht="14.4" customHeight="1">
      <c r="A419" s="2">
        <f>ROW()-4</f>
        <v>415</v>
      </c>
      <c r="C419" s="2">
        <f>IF(ISBLANK($B419),-1,IFERROR(IF($B419&gt;0.9,2,IF($B419&lt;0.3,1,0)),-1))</f>
        <v>-1</v>
      </c>
      <c r="D419" s="2"/>
    </row>
    <row r="420" spans="1:4" ht="14.4" customHeight="1">
      <c r="A420" s="2">
        <f>ROW()-4</f>
        <v>416</v>
      </c>
      <c r="C420" s="2">
        <f>IF(ISBLANK($B420),-1,IFERROR(IF($B420&gt;0.9,2,IF($B420&lt;0.3,1,0)),-1))</f>
        <v>-1</v>
      </c>
      <c r="D420" s="2"/>
    </row>
    <row r="421" spans="1:4" ht="14.4" customHeight="1">
      <c r="A421" s="2">
        <f>ROW()-4</f>
        <v>417</v>
      </c>
      <c r="C421" s="2">
        <f>IF(ISBLANK($B421),-1,IFERROR(IF($B421&gt;0.9,2,IF($B421&lt;0.3,1,0)),-1))</f>
        <v>-1</v>
      </c>
      <c r="D421" s="2"/>
    </row>
    <row r="422" spans="1:4" ht="14.4" customHeight="1">
      <c r="A422" s="2">
        <f>ROW()-4</f>
        <v>418</v>
      </c>
      <c r="C422" s="2">
        <f>IF(ISBLANK($B422),-1,IFERROR(IF($B422&gt;0.9,2,IF($B422&lt;0.3,1,0)),-1))</f>
        <v>-1</v>
      </c>
      <c r="D422" s="2"/>
    </row>
    <row r="423" spans="1:4" ht="14.4" customHeight="1">
      <c r="A423" s="2">
        <f>ROW()-4</f>
        <v>419</v>
      </c>
      <c r="C423" s="2">
        <f>IF(ISBLANK($B423),-1,IFERROR(IF($B423&gt;0.9,2,IF($B423&lt;0.3,1,0)),-1))</f>
        <v>-1</v>
      </c>
      <c r="D423" s="2"/>
    </row>
    <row r="424" spans="1:4" ht="14.4" customHeight="1">
      <c r="A424" s="2">
        <f>ROW()-4</f>
        <v>420</v>
      </c>
      <c r="C424" s="2">
        <f>IF(ISBLANK($B424),-1,IFERROR(IF($B424&gt;0.9,2,IF($B424&lt;0.3,1,0)),-1))</f>
        <v>-1</v>
      </c>
      <c r="D424" s="2"/>
    </row>
    <row r="425" spans="1:4" ht="14.4" customHeight="1">
      <c r="A425" s="2">
        <f>ROW()-4</f>
        <v>421</v>
      </c>
      <c r="C425" s="2">
        <f>IF(ISBLANK($B425),-1,IFERROR(IF($B425&gt;0.9,2,IF($B425&lt;0.3,1,0)),-1))</f>
        <v>-1</v>
      </c>
      <c r="D425" s="2"/>
    </row>
    <row r="426" spans="1:4" ht="14.4" customHeight="1">
      <c r="A426" s="2">
        <f>ROW()-4</f>
        <v>422</v>
      </c>
      <c r="C426" s="2">
        <f>IF(ISBLANK($B426),-1,IFERROR(IF($B426&gt;0.9,2,IF($B426&lt;0.3,1,0)),-1))</f>
        <v>-1</v>
      </c>
      <c r="D426" s="2"/>
    </row>
    <row r="427" spans="1:4" ht="14.4" customHeight="1">
      <c r="A427" s="2">
        <f>ROW()-4</f>
        <v>423</v>
      </c>
      <c r="C427" s="2">
        <f>IF(ISBLANK($B427),-1,IFERROR(IF($B427&gt;0.9,2,IF($B427&lt;0.3,1,0)),-1))</f>
        <v>-1</v>
      </c>
      <c r="D427" s="2"/>
    </row>
    <row r="428" spans="1:4" ht="14.4" customHeight="1">
      <c r="A428" s="2">
        <f>ROW()-4</f>
        <v>424</v>
      </c>
      <c r="C428" s="2">
        <f>IF(ISBLANK($B428),-1,IFERROR(IF($B428&gt;0.9,2,IF($B428&lt;0.3,1,0)),-1))</f>
        <v>-1</v>
      </c>
      <c r="D428" s="2"/>
    </row>
    <row r="429" spans="1:4" ht="14.4" customHeight="1">
      <c r="A429" s="2">
        <f>ROW()-4</f>
        <v>425</v>
      </c>
      <c r="C429" s="2">
        <f>IF(ISBLANK($B429),-1,IFERROR(IF($B429&gt;0.9,2,IF($B429&lt;0.3,1,0)),-1))</f>
        <v>-1</v>
      </c>
      <c r="D429" s="2"/>
    </row>
    <row r="430" spans="1:4" ht="14.4" customHeight="1">
      <c r="A430" s="2">
        <f>ROW()-4</f>
        <v>426</v>
      </c>
      <c r="C430" s="2">
        <f>IF(ISBLANK($B430),-1,IFERROR(IF($B430&gt;0.9,2,IF($B430&lt;0.3,1,0)),-1))</f>
        <v>-1</v>
      </c>
      <c r="D430" s="2"/>
    </row>
    <row r="431" spans="1:4" ht="14.4" customHeight="1">
      <c r="A431" s="2">
        <f>ROW()-4</f>
        <v>427</v>
      </c>
      <c r="C431" s="2">
        <f>IF(ISBLANK($B431),-1,IFERROR(IF($B431&gt;0.9,2,IF($B431&lt;0.3,1,0)),-1))</f>
        <v>-1</v>
      </c>
      <c r="D431" s="2"/>
    </row>
    <row r="432" spans="1:4" ht="14.4" customHeight="1">
      <c r="A432" s="2">
        <f>ROW()-4</f>
        <v>428</v>
      </c>
      <c r="C432" s="2">
        <f>IF(ISBLANK($B432),-1,IFERROR(IF($B432&gt;0.9,2,IF($B432&lt;0.3,1,0)),-1))</f>
        <v>-1</v>
      </c>
      <c r="D432" s="2"/>
    </row>
    <row r="433" spans="1:4" ht="14.4" customHeight="1">
      <c r="A433" s="2">
        <f>ROW()-4</f>
        <v>429</v>
      </c>
      <c r="C433" s="2">
        <f>IF(ISBLANK($B433),-1,IFERROR(IF($B433&gt;0.9,2,IF($B433&lt;0.3,1,0)),-1))</f>
        <v>-1</v>
      </c>
      <c r="D433" s="2"/>
    </row>
    <row r="434" spans="1:4" ht="14.4" customHeight="1">
      <c r="A434" s="2">
        <f>ROW()-4</f>
        <v>430</v>
      </c>
      <c r="C434" s="2">
        <f>IF(ISBLANK($B434),-1,IFERROR(IF($B434&gt;0.9,2,IF($B434&lt;0.3,1,0)),-1))</f>
        <v>-1</v>
      </c>
      <c r="D434" s="2"/>
    </row>
    <row r="435" spans="1:4" ht="14.4" customHeight="1">
      <c r="A435" s="2">
        <f>ROW()-4</f>
        <v>431</v>
      </c>
      <c r="C435" s="2">
        <f>IF(ISBLANK($B435),-1,IFERROR(IF($B435&gt;0.9,2,IF($B435&lt;0.3,1,0)),-1))</f>
        <v>-1</v>
      </c>
      <c r="D435" s="2"/>
    </row>
    <row r="436" spans="1:4" ht="14.4" customHeight="1">
      <c r="A436" s="2">
        <f>ROW()-4</f>
        <v>432</v>
      </c>
      <c r="C436" s="2">
        <f>IF(ISBLANK($B436),-1,IFERROR(IF($B436&gt;0.9,2,IF($B436&lt;0.3,1,0)),-1))</f>
        <v>-1</v>
      </c>
      <c r="D436" s="2"/>
    </row>
    <row r="437" spans="1:4" ht="14.4" customHeight="1">
      <c r="A437" s="2">
        <f>ROW()-4</f>
        <v>433</v>
      </c>
      <c r="C437" s="2">
        <f>IF(ISBLANK($B437),-1,IFERROR(IF($B437&gt;0.9,2,IF($B437&lt;0.3,1,0)),-1))</f>
        <v>-1</v>
      </c>
      <c r="D437" s="2"/>
    </row>
    <row r="438" spans="1:4" ht="14.4" customHeight="1">
      <c r="A438" s="2">
        <f>ROW()-4</f>
        <v>434</v>
      </c>
      <c r="C438" s="2">
        <f>IF(ISBLANK($B438),-1,IFERROR(IF($B438&gt;0.9,2,IF($B438&lt;0.3,1,0)),-1))</f>
        <v>-1</v>
      </c>
      <c r="D438" s="2"/>
    </row>
    <row r="439" spans="1:4" ht="14.4" customHeight="1">
      <c r="A439" s="2">
        <f>ROW()-4</f>
        <v>435</v>
      </c>
      <c r="C439" s="2">
        <f>IF(ISBLANK($B439),-1,IFERROR(IF($B439&gt;0.9,2,IF($B439&lt;0.3,1,0)),-1))</f>
        <v>-1</v>
      </c>
      <c r="D439" s="2"/>
    </row>
    <row r="440" spans="1:4" ht="14.4" customHeight="1">
      <c r="A440" s="2">
        <f>ROW()-4</f>
        <v>436</v>
      </c>
      <c r="C440" s="2">
        <f>IF(ISBLANK($B440),-1,IFERROR(IF($B440&gt;0.9,2,IF($B440&lt;0.3,1,0)),-1))</f>
        <v>-1</v>
      </c>
      <c r="D440" s="2"/>
    </row>
    <row r="441" spans="1:4" ht="14.4" customHeight="1">
      <c r="A441" s="2">
        <f>ROW()-4</f>
        <v>437</v>
      </c>
      <c r="C441" s="2">
        <f>IF(ISBLANK($B441),-1,IFERROR(IF($B441&gt;0.9,2,IF($B441&lt;0.3,1,0)),-1))</f>
        <v>-1</v>
      </c>
      <c r="D441" s="2"/>
    </row>
    <row r="442" spans="1:4" ht="14.4" customHeight="1">
      <c r="A442" s="2">
        <f>ROW()-4</f>
        <v>438</v>
      </c>
      <c r="C442" s="2">
        <f>IF(ISBLANK($B442),-1,IFERROR(IF($B442&gt;0.9,2,IF($B442&lt;0.3,1,0)),-1))</f>
        <v>-1</v>
      </c>
      <c r="D442" s="2"/>
    </row>
    <row r="443" spans="1:4" ht="14.4" customHeight="1">
      <c r="A443" s="2">
        <f>ROW()-4</f>
        <v>439</v>
      </c>
      <c r="C443" s="2">
        <f>IF(ISBLANK($B443),-1,IFERROR(IF($B443&gt;0.9,2,IF($B443&lt;0.3,1,0)),-1))</f>
        <v>-1</v>
      </c>
      <c r="D443" s="2"/>
    </row>
    <row r="444" spans="1:4" ht="14.4" customHeight="1">
      <c r="A444" s="2">
        <f>ROW()-4</f>
        <v>440</v>
      </c>
      <c r="C444" s="2">
        <f>IF(ISBLANK($B444),-1,IFERROR(IF($B444&gt;0.9,2,IF($B444&lt;0.3,1,0)),-1))</f>
        <v>-1</v>
      </c>
      <c r="D444" s="2"/>
    </row>
    <row r="445" spans="1:4" ht="14.4" customHeight="1">
      <c r="A445" s="2">
        <f>ROW()-4</f>
        <v>441</v>
      </c>
      <c r="C445" s="2">
        <f>IF(ISBLANK($B445),-1,IFERROR(IF($B445&gt;0.9,2,IF($B445&lt;0.3,1,0)),-1))</f>
        <v>-1</v>
      </c>
      <c r="D445" s="2"/>
    </row>
    <row r="446" spans="1:4" ht="14.4" customHeight="1">
      <c r="A446" s="2">
        <f>ROW()-4</f>
        <v>442</v>
      </c>
      <c r="C446" s="2">
        <f>IF(ISBLANK($B446),-1,IFERROR(IF($B446&gt;0.9,2,IF($B446&lt;0.3,1,0)),-1))</f>
        <v>-1</v>
      </c>
      <c r="D446" s="2"/>
    </row>
    <row r="447" spans="1:4" ht="14.4" customHeight="1">
      <c r="A447" s="2">
        <f>ROW()-4</f>
        <v>443</v>
      </c>
      <c r="C447" s="2">
        <f>IF(ISBLANK($B447),-1,IFERROR(IF($B447&gt;0.9,2,IF($B447&lt;0.3,1,0)),-1))</f>
        <v>-1</v>
      </c>
      <c r="D447" s="2"/>
    </row>
    <row r="448" spans="1:4" ht="14.4" customHeight="1">
      <c r="A448" s="2">
        <f>ROW()-4</f>
        <v>444</v>
      </c>
      <c r="C448" s="2">
        <f>IF(ISBLANK($B448),-1,IFERROR(IF($B448&gt;0.9,2,IF($B448&lt;0.3,1,0)),-1))</f>
        <v>-1</v>
      </c>
      <c r="D448" s="2"/>
    </row>
    <row r="449" spans="1:4" ht="14.4" customHeight="1">
      <c r="A449" s="2">
        <f>ROW()-4</f>
        <v>445</v>
      </c>
      <c r="C449" s="2">
        <f>IF(ISBLANK($B449),-1,IFERROR(IF($B449&gt;0.9,2,IF($B449&lt;0.3,1,0)),-1))</f>
        <v>-1</v>
      </c>
      <c r="D449" s="2"/>
    </row>
    <row r="450" spans="1:4" ht="14.4" customHeight="1">
      <c r="A450" s="2">
        <f>ROW()-4</f>
        <v>446</v>
      </c>
      <c r="C450" s="2">
        <f>IF(ISBLANK($B450),-1,IFERROR(IF($B450&gt;0.9,2,IF($B450&lt;0.3,1,0)),-1))</f>
        <v>-1</v>
      </c>
      <c r="D450" s="2"/>
    </row>
    <row r="451" spans="1:4" ht="14.4" customHeight="1">
      <c r="A451" s="2">
        <f>ROW()-4</f>
        <v>447</v>
      </c>
      <c r="C451" s="2">
        <f>IF(ISBLANK($B451),-1,IFERROR(IF($B451&gt;0.9,2,IF($B451&lt;0.3,1,0)),-1))</f>
        <v>-1</v>
      </c>
      <c r="D451" s="2"/>
    </row>
    <row r="452" spans="1:4" ht="14.4" customHeight="1">
      <c r="A452" s="2">
        <f>ROW()-4</f>
        <v>448</v>
      </c>
      <c r="C452" s="2">
        <f>IF(ISBLANK($B452),-1,IFERROR(IF($B452&gt;0.9,2,IF($B452&lt;0.3,1,0)),-1))</f>
        <v>-1</v>
      </c>
      <c r="D452" s="2"/>
    </row>
    <row r="453" spans="1:4" ht="14.4" customHeight="1">
      <c r="A453" s="2">
        <f>ROW()-4</f>
        <v>449</v>
      </c>
      <c r="C453" s="2">
        <f>IF(ISBLANK($B453),-1,IFERROR(IF($B453&gt;0.9,2,IF($B453&lt;0.3,1,0)),-1))</f>
        <v>-1</v>
      </c>
      <c r="D453" s="2"/>
    </row>
    <row r="454" spans="1:4" ht="14.4" customHeight="1">
      <c r="A454" s="2">
        <f>ROW()-4</f>
        <v>450</v>
      </c>
      <c r="C454" s="2">
        <f>IF(ISBLANK($B454),-1,IFERROR(IF($B454&gt;0.9,2,IF($B454&lt;0.3,1,0)),-1))</f>
        <v>-1</v>
      </c>
      <c r="D454" s="2"/>
    </row>
    <row r="455" spans="1:4" ht="14.4" customHeight="1">
      <c r="A455" s="2">
        <f>ROW()-4</f>
        <v>451</v>
      </c>
      <c r="C455" s="2">
        <f>IF(ISBLANK($B455),-1,IFERROR(IF($B455&gt;0.9,2,IF($B455&lt;0.3,1,0)),-1))</f>
        <v>-1</v>
      </c>
      <c r="D455" s="2"/>
    </row>
    <row r="456" spans="1:4" ht="14.4" customHeight="1">
      <c r="A456" s="2">
        <f>ROW()-4</f>
        <v>452</v>
      </c>
      <c r="C456" s="2">
        <f>IF(ISBLANK($B456),-1,IFERROR(IF($B456&gt;0.9,2,IF($B456&lt;0.3,1,0)),-1))</f>
        <v>-1</v>
      </c>
      <c r="D456" s="2"/>
    </row>
    <row r="457" spans="1:4" ht="14.4" customHeight="1">
      <c r="A457" s="2">
        <f>ROW()-4</f>
        <v>453</v>
      </c>
      <c r="C457" s="2">
        <f>IF(ISBLANK($B457),-1,IFERROR(IF($B457&gt;0.9,2,IF($B457&lt;0.3,1,0)),-1))</f>
        <v>-1</v>
      </c>
      <c r="D457" s="2"/>
    </row>
    <row r="458" spans="1:4" ht="14.4" customHeight="1">
      <c r="A458" s="2">
        <f>ROW()-4</f>
        <v>454</v>
      </c>
      <c r="C458" s="2">
        <f>IF(ISBLANK($B458),-1,IFERROR(IF($B458&gt;0.9,2,IF($B458&lt;0.3,1,0)),-1))</f>
        <v>-1</v>
      </c>
      <c r="D458" s="2"/>
    </row>
    <row r="459" spans="1:4" ht="14.4" customHeight="1">
      <c r="A459" s="2">
        <f>ROW()-4</f>
        <v>455</v>
      </c>
      <c r="C459" s="2">
        <f>IF(ISBLANK($B459),-1,IFERROR(IF($B459&gt;0.9,2,IF($B459&lt;0.3,1,0)),-1))</f>
        <v>-1</v>
      </c>
      <c r="D459" s="2"/>
    </row>
    <row r="460" spans="1:4" ht="14.4" customHeight="1">
      <c r="A460" s="2">
        <f>ROW()-4</f>
        <v>456</v>
      </c>
      <c r="C460" s="2">
        <f>IF(ISBLANK($B460),-1,IFERROR(IF($B460&gt;0.9,2,IF($B460&lt;0.3,1,0)),-1))</f>
        <v>-1</v>
      </c>
      <c r="D460" s="2"/>
    </row>
    <row r="461" spans="1:4" ht="14.4" customHeight="1">
      <c r="A461" s="2">
        <f>ROW()-4</f>
        <v>457</v>
      </c>
      <c r="C461" s="2">
        <f>IF(ISBLANK($B461),-1,IFERROR(IF($B461&gt;0.9,2,IF($B461&lt;0.3,1,0)),-1))</f>
        <v>-1</v>
      </c>
      <c r="D461" s="2"/>
    </row>
    <row r="462" spans="1:4" ht="14.4" customHeight="1">
      <c r="A462" s="2">
        <f>ROW()-4</f>
        <v>458</v>
      </c>
      <c r="C462" s="2">
        <f>IF(ISBLANK($B462),-1,IFERROR(IF($B462&gt;0.9,2,IF($B462&lt;0.3,1,0)),-1))</f>
        <v>-1</v>
      </c>
      <c r="D462" s="2"/>
    </row>
    <row r="463" spans="1:4" ht="14.4" customHeight="1">
      <c r="A463" s="2">
        <f>ROW()-4</f>
        <v>459</v>
      </c>
      <c r="C463" s="2">
        <f>IF(ISBLANK($B463),-1,IFERROR(IF($B463&gt;0.9,2,IF($B463&lt;0.3,1,0)),-1))</f>
        <v>-1</v>
      </c>
      <c r="D463" s="2"/>
    </row>
    <row r="464" spans="1:4" ht="14.4" customHeight="1">
      <c r="A464" s="2">
        <f>ROW()-4</f>
        <v>460</v>
      </c>
      <c r="C464" s="2">
        <f>IF(ISBLANK($B464),-1,IFERROR(IF($B464&gt;0.9,2,IF($B464&lt;0.3,1,0)),-1))</f>
        <v>-1</v>
      </c>
      <c r="D464" s="2"/>
    </row>
    <row r="465" spans="1:4" ht="14.4" customHeight="1">
      <c r="A465" s="2">
        <f>ROW()-4</f>
        <v>461</v>
      </c>
      <c r="C465" s="2">
        <f>IF(ISBLANK($B465),-1,IFERROR(IF($B465&gt;0.9,2,IF($B465&lt;0.3,1,0)),-1))</f>
        <v>-1</v>
      </c>
      <c r="D465" s="2"/>
    </row>
    <row r="466" spans="1:4" ht="14.4" customHeight="1">
      <c r="A466" s="2">
        <f>ROW()-4</f>
        <v>462</v>
      </c>
      <c r="C466" s="2">
        <f>IF(ISBLANK($B466),-1,IFERROR(IF($B466&gt;0.9,2,IF($B466&lt;0.3,1,0)),-1))</f>
        <v>-1</v>
      </c>
      <c r="D466" s="2"/>
    </row>
    <row r="467" spans="1:4" ht="14.4" customHeight="1">
      <c r="A467" s="2">
        <f>ROW()-4</f>
        <v>463</v>
      </c>
      <c r="C467" s="2">
        <f>IF(ISBLANK($B467),-1,IFERROR(IF($B467&gt;0.9,2,IF($B467&lt;0.3,1,0)),-1))</f>
        <v>-1</v>
      </c>
      <c r="D467" s="2"/>
    </row>
    <row r="468" spans="1:4" ht="14.4" customHeight="1">
      <c r="A468" s="2">
        <f>ROW()-4</f>
        <v>464</v>
      </c>
      <c r="C468" s="2">
        <f>IF(ISBLANK($B468),-1,IFERROR(IF($B468&gt;0.9,2,IF($B468&lt;0.3,1,0)),-1))</f>
        <v>-1</v>
      </c>
      <c r="D468" s="2"/>
    </row>
    <row r="469" spans="1:4" ht="14.4" customHeight="1">
      <c r="A469" s="2">
        <f>ROW()-4</f>
        <v>465</v>
      </c>
      <c r="C469" s="2">
        <f>IF(ISBLANK($B469),-1,IFERROR(IF($B469&gt;0.9,2,IF($B469&lt;0.3,1,0)),-1))</f>
        <v>-1</v>
      </c>
      <c r="D469" s="2"/>
    </row>
    <row r="470" spans="1:4" ht="14.4" customHeight="1">
      <c r="A470" s="2">
        <f>ROW()-4</f>
        <v>466</v>
      </c>
      <c r="C470" s="2">
        <f>IF(ISBLANK($B470),-1,IFERROR(IF($B470&gt;0.9,2,IF($B470&lt;0.3,1,0)),-1))</f>
        <v>-1</v>
      </c>
      <c r="D470" s="2"/>
    </row>
    <row r="471" spans="1:4" ht="14.4" customHeight="1">
      <c r="A471" s="2">
        <f>ROW()-4</f>
        <v>467</v>
      </c>
      <c r="C471" s="2">
        <f>IF(ISBLANK($B471),-1,IFERROR(IF($B471&gt;0.9,2,IF($B471&lt;0.3,1,0)),-1))</f>
        <v>-1</v>
      </c>
      <c r="D471" s="2"/>
    </row>
    <row r="472" spans="1:4" ht="14.4" customHeight="1">
      <c r="A472" s="2">
        <f>ROW()-4</f>
        <v>468</v>
      </c>
      <c r="C472" s="2">
        <f>IF(ISBLANK($B472),-1,IFERROR(IF($B472&gt;0.9,2,IF($B472&lt;0.3,1,0)),-1))</f>
        <v>-1</v>
      </c>
      <c r="D472" s="2"/>
    </row>
    <row r="473" spans="1:4" ht="14.4" customHeight="1">
      <c r="A473" s="2">
        <f>ROW()-4</f>
        <v>469</v>
      </c>
      <c r="C473" s="2">
        <f>IF(ISBLANK($B473),-1,IFERROR(IF($B473&gt;0.9,2,IF($B473&lt;0.3,1,0)),-1))</f>
        <v>-1</v>
      </c>
      <c r="D473" s="2"/>
    </row>
    <row r="474" spans="1:4" ht="14.4" customHeight="1">
      <c r="A474" s="2">
        <f>ROW()-4</f>
        <v>470</v>
      </c>
      <c r="C474" s="2">
        <f>IF(ISBLANK($B474),-1,IFERROR(IF($B474&gt;0.9,2,IF($B474&lt;0.3,1,0)),-1))</f>
        <v>-1</v>
      </c>
      <c r="D474" s="2"/>
    </row>
    <row r="475" spans="1:4" ht="14.4" customHeight="1">
      <c r="A475" s="2">
        <f>ROW()-4</f>
        <v>471</v>
      </c>
      <c r="C475" s="2">
        <f>IF(ISBLANK($B475),-1,IFERROR(IF($B475&gt;0.9,2,IF($B475&lt;0.3,1,0)),-1))</f>
        <v>-1</v>
      </c>
      <c r="D475" s="2"/>
    </row>
    <row r="476" spans="1:4" ht="14.4" customHeight="1">
      <c r="A476" s="2">
        <f>ROW()-4</f>
        <v>472</v>
      </c>
      <c r="C476" s="2">
        <f>IF(ISBLANK($B476),-1,IFERROR(IF($B476&gt;0.9,2,IF($B476&lt;0.3,1,0)),-1))</f>
        <v>-1</v>
      </c>
      <c r="D476" s="2"/>
    </row>
    <row r="477" spans="1:4" ht="14.4" customHeight="1">
      <c r="A477" s="2">
        <f>ROW()-4</f>
        <v>473</v>
      </c>
      <c r="C477" s="2">
        <f>IF(ISBLANK($B477),-1,IFERROR(IF($B477&gt;0.9,2,IF($B477&lt;0.3,1,0)),-1))</f>
        <v>-1</v>
      </c>
      <c r="D477" s="2"/>
    </row>
    <row r="478" spans="1:4" ht="14.4" customHeight="1">
      <c r="A478" s="2">
        <f>ROW()-4</f>
        <v>474</v>
      </c>
      <c r="C478" s="2">
        <f>IF(ISBLANK($B478),-1,IFERROR(IF($B478&gt;0.9,2,IF($B478&lt;0.3,1,0)),-1))</f>
        <v>-1</v>
      </c>
      <c r="D478" s="2"/>
    </row>
    <row r="479" spans="1:4" ht="14.4" customHeight="1">
      <c r="A479" s="2">
        <f>ROW()-4</f>
        <v>475</v>
      </c>
      <c r="C479" s="2">
        <f>IF(ISBLANK($B479),-1,IFERROR(IF($B479&gt;0.9,2,IF($B479&lt;0.3,1,0)),-1))</f>
        <v>-1</v>
      </c>
      <c r="D479" s="2"/>
    </row>
    <row r="480" spans="1:4" ht="14.4" customHeight="1">
      <c r="A480" s="2">
        <f>ROW()-4</f>
        <v>476</v>
      </c>
      <c r="C480" s="2">
        <f>IF(ISBLANK($B480),-1,IFERROR(IF($B480&gt;0.9,2,IF($B480&lt;0.3,1,0)),-1))</f>
        <v>-1</v>
      </c>
      <c r="D480" s="2"/>
    </row>
    <row r="481" spans="1:4" ht="14.4" customHeight="1">
      <c r="A481" s="2">
        <f>ROW()-4</f>
        <v>477</v>
      </c>
      <c r="C481" s="2">
        <f>IF(ISBLANK($B481),-1,IFERROR(IF($B481&gt;0.9,2,IF($B481&lt;0.3,1,0)),-1))</f>
        <v>-1</v>
      </c>
      <c r="D481" s="2"/>
    </row>
    <row r="482" spans="1:4" ht="14.4" customHeight="1">
      <c r="A482" s="2">
        <f>ROW()-4</f>
        <v>478</v>
      </c>
      <c r="C482" s="2">
        <f>IF(ISBLANK($B482),-1,IFERROR(IF($B482&gt;0.9,2,IF($B482&lt;0.3,1,0)),-1))</f>
        <v>-1</v>
      </c>
      <c r="D482" s="2"/>
    </row>
    <row r="483" spans="1:4" ht="14.4" customHeight="1">
      <c r="A483" s="2">
        <f>ROW()-4</f>
        <v>479</v>
      </c>
      <c r="C483" s="2">
        <f>IF(ISBLANK($B483),-1,IFERROR(IF($B483&gt;0.9,2,IF($B483&lt;0.3,1,0)),-1))</f>
        <v>-1</v>
      </c>
      <c r="D483" s="2"/>
    </row>
    <row r="484" spans="1:4" ht="14.4" customHeight="1">
      <c r="A484" s="2">
        <f>ROW()-4</f>
        <v>480</v>
      </c>
      <c r="C484" s="2">
        <f>IF(ISBLANK($B484),-1,IFERROR(IF($B484&gt;0.9,2,IF($B484&lt;0.3,1,0)),-1))</f>
        <v>-1</v>
      </c>
      <c r="D484" s="2"/>
    </row>
    <row r="485" spans="1:4" ht="14.4" customHeight="1">
      <c r="A485" s="2">
        <f>ROW()-4</f>
        <v>481</v>
      </c>
      <c r="C485" s="2">
        <f>IF(ISBLANK($B485),-1,IFERROR(IF($B485&gt;0.9,2,IF($B485&lt;0.3,1,0)),-1))</f>
        <v>-1</v>
      </c>
      <c r="D485" s="2"/>
    </row>
    <row r="486" spans="1:4" ht="14.4" customHeight="1">
      <c r="A486" s="2">
        <f>ROW()-4</f>
        <v>482</v>
      </c>
      <c r="C486" s="2">
        <f>IF(ISBLANK($B486),-1,IFERROR(IF($B486&gt;0.9,2,IF($B486&lt;0.3,1,0)),-1))</f>
        <v>-1</v>
      </c>
      <c r="D486" s="2"/>
    </row>
    <row r="487" spans="1:4" ht="14.4" customHeight="1">
      <c r="A487" s="2">
        <f>ROW()-4</f>
        <v>483</v>
      </c>
      <c r="C487" s="2">
        <f>IF(ISBLANK($B487),-1,IFERROR(IF($B487&gt;0.9,2,IF($B487&lt;0.3,1,0)),-1))</f>
        <v>-1</v>
      </c>
      <c r="D487" s="2"/>
    </row>
    <row r="488" spans="1:4" ht="14.4" customHeight="1">
      <c r="A488" s="2">
        <f>ROW()-4</f>
        <v>484</v>
      </c>
      <c r="C488" s="2">
        <f>IF(ISBLANK($B488),-1,IFERROR(IF($B488&gt;0.9,2,IF($B488&lt;0.3,1,0)),-1))</f>
        <v>-1</v>
      </c>
      <c r="D488" s="2"/>
    </row>
    <row r="489" spans="1:4" ht="14.4" customHeight="1">
      <c r="A489" s="2">
        <f>ROW()-4</f>
        <v>485</v>
      </c>
      <c r="C489" s="2">
        <f>IF(ISBLANK($B489),-1,IFERROR(IF($B489&gt;0.9,2,IF($B489&lt;0.3,1,0)),-1))</f>
        <v>-1</v>
      </c>
      <c r="D489" s="2"/>
    </row>
    <row r="490" spans="1:4" ht="14.4" customHeight="1">
      <c r="A490" s="2">
        <f>ROW()-4</f>
        <v>486</v>
      </c>
      <c r="C490" s="2">
        <f>IF(ISBLANK($B490),-1,IFERROR(IF($B490&gt;0.9,2,IF($B490&lt;0.3,1,0)),-1))</f>
        <v>-1</v>
      </c>
      <c r="D490" s="2"/>
    </row>
    <row r="491" spans="1:4" ht="14.4" customHeight="1">
      <c r="A491" s="2">
        <f>ROW()-4</f>
        <v>487</v>
      </c>
      <c r="C491" s="2">
        <f>IF(ISBLANK($B491),-1,IFERROR(IF($B491&gt;0.9,2,IF($B491&lt;0.3,1,0)),-1))</f>
        <v>-1</v>
      </c>
      <c r="D491" s="2"/>
    </row>
    <row r="492" spans="1:4" ht="14.4" customHeight="1">
      <c r="A492" s="2">
        <f>ROW()-4</f>
        <v>488</v>
      </c>
      <c r="C492" s="2">
        <f>IF(ISBLANK($B492),-1,IFERROR(IF($B492&gt;0.9,2,IF($B492&lt;0.3,1,0)),-1))</f>
        <v>-1</v>
      </c>
      <c r="D492" s="2"/>
    </row>
    <row r="493" spans="1:4" ht="14.4" customHeight="1">
      <c r="A493" s="2">
        <f>ROW()-4</f>
        <v>489</v>
      </c>
      <c r="C493" s="2">
        <f>IF(ISBLANK($B493),-1,IFERROR(IF($B493&gt;0.9,2,IF($B493&lt;0.3,1,0)),-1))</f>
        <v>-1</v>
      </c>
      <c r="D493" s="2"/>
    </row>
    <row r="494" spans="1:4" ht="14.4" customHeight="1">
      <c r="A494" s="2">
        <f>ROW()-4</f>
        <v>490</v>
      </c>
      <c r="C494" s="2">
        <f>IF(ISBLANK($B494),-1,IFERROR(IF($B494&gt;0.9,2,IF($B494&lt;0.3,1,0)),-1))</f>
        <v>-1</v>
      </c>
      <c r="D494" s="2"/>
    </row>
    <row r="495" spans="1:4" ht="14.4" customHeight="1">
      <c r="A495" s="2">
        <f>ROW()-4</f>
        <v>491</v>
      </c>
      <c r="C495" s="2">
        <f>IF(ISBLANK($B495),-1,IFERROR(IF($B495&gt;0.9,2,IF($B495&lt;0.3,1,0)),-1))</f>
        <v>-1</v>
      </c>
      <c r="D495" s="2"/>
    </row>
    <row r="496" spans="1:4" ht="14.4" customHeight="1">
      <c r="A496" s="2">
        <f>ROW()-4</f>
        <v>492</v>
      </c>
      <c r="C496" s="2">
        <f>IF(ISBLANK($B496),-1,IFERROR(IF($B496&gt;0.9,2,IF($B496&lt;0.3,1,0)),-1))</f>
        <v>-1</v>
      </c>
      <c r="D496" s="2"/>
    </row>
    <row r="497" spans="1:4" ht="14.4" customHeight="1">
      <c r="A497" s="2">
        <f>ROW()-4</f>
        <v>493</v>
      </c>
      <c r="C497" s="2">
        <f>IF(ISBLANK($B497),-1,IFERROR(IF($B497&gt;0.9,2,IF($B497&lt;0.3,1,0)),-1))</f>
        <v>-1</v>
      </c>
      <c r="D497" s="2"/>
    </row>
    <row r="498" spans="1:4" ht="14.4" customHeight="1">
      <c r="A498" s="2">
        <f>ROW()-4</f>
        <v>494</v>
      </c>
      <c r="C498" s="2">
        <f>IF(ISBLANK($B498),-1,IFERROR(IF($B498&gt;0.9,2,IF($B498&lt;0.3,1,0)),-1))</f>
        <v>-1</v>
      </c>
      <c r="D498" s="2"/>
    </row>
    <row r="499" spans="1:4" ht="14.4" customHeight="1">
      <c r="A499" s="2">
        <f>ROW()-4</f>
        <v>495</v>
      </c>
      <c r="C499" s="2">
        <f>IF(ISBLANK($B499),-1,IFERROR(IF($B499&gt;0.9,2,IF($B499&lt;0.3,1,0)),-1))</f>
        <v>-1</v>
      </c>
      <c r="D499" s="2"/>
    </row>
    <row r="500" spans="1:4" ht="14.4" customHeight="1">
      <c r="A500" s="2">
        <f>ROW()-4</f>
        <v>496</v>
      </c>
      <c r="C500" s="2">
        <f>IF(ISBLANK($B500),-1,IFERROR(IF($B500&gt;0.9,2,IF($B500&lt;0.3,1,0)),-1))</f>
        <v>-1</v>
      </c>
      <c r="D500" s="2"/>
    </row>
    <row r="501" spans="1:4" ht="14.4" customHeight="1">
      <c r="A501" s="2">
        <f>ROW()-4</f>
        <v>497</v>
      </c>
      <c r="C501" s="2">
        <f>IF(ISBLANK($B501),-1,IFERROR(IF($B501&gt;0.9,2,IF($B501&lt;0.3,1,0)),-1))</f>
        <v>-1</v>
      </c>
      <c r="D501" s="2"/>
    </row>
    <row r="502" spans="1:4" ht="14.4" customHeight="1">
      <c r="A502" s="2">
        <f>ROW()-4</f>
        <v>498</v>
      </c>
      <c r="C502" s="2">
        <f>IF(ISBLANK($B502),-1,IFERROR(IF($B502&gt;0.9,2,IF($B502&lt;0.3,1,0)),-1))</f>
        <v>-1</v>
      </c>
      <c r="D502" s="2"/>
    </row>
    <row r="503" spans="1:4" ht="14.4" customHeight="1">
      <c r="A503" s="2">
        <f>ROW()-4</f>
        <v>499</v>
      </c>
      <c r="C503" s="2">
        <f>IF(ISBLANK($B503),-1,IFERROR(IF($B503&gt;0.9,2,IF($B503&lt;0.3,1,0)),-1))</f>
        <v>-1</v>
      </c>
      <c r="D503" s="2"/>
    </row>
    <row r="504" spans="1:4" ht="14.4" customHeight="1">
      <c r="A504" s="2">
        <f>ROW()-4</f>
        <v>500</v>
      </c>
    </row>
    <row r="505" spans="1:4" ht="14.4" customHeight="1">
      <c r="A505" s="2">
        <f>ROW()-4</f>
        <v>501</v>
      </c>
    </row>
    <row r="506" spans="1:4" ht="14.4" customHeight="1">
      <c r="A506" s="2">
        <f>ROW()-4</f>
        <v>502</v>
      </c>
    </row>
    <row r="507" spans="1:4" ht="14.4" customHeight="1">
      <c r="A507" s="2">
        <f>ROW()-4</f>
        <v>503</v>
      </c>
    </row>
  </sheetData>
  <sortState xmlns:xlrd2="http://schemas.microsoft.com/office/spreadsheetml/2017/richdata2" ref="A6:V507">
    <sortCondition descending="1" ref="C6:C1000"/>
  </sortState>
  <mergeCells count="17">
    <mergeCell ref="E2:F2"/>
    <mergeCell ref="O4:Q4"/>
    <mergeCell ref="A4:A5"/>
    <mergeCell ref="B4:B5"/>
    <mergeCell ref="C4:C5"/>
    <mergeCell ref="E4:E5"/>
    <mergeCell ref="F4:F5"/>
    <mergeCell ref="G4:G5"/>
    <mergeCell ref="H4:H5"/>
    <mergeCell ref="I4:I5"/>
    <mergeCell ref="J4:J5"/>
    <mergeCell ref="K4:N4"/>
    <mergeCell ref="T4:T5"/>
    <mergeCell ref="U4:U5"/>
    <mergeCell ref="A3:P3"/>
    <mergeCell ref="D4:D5"/>
    <mergeCell ref="R4:R5"/>
  </mergeCells>
  <phoneticPr fontId="5" type="noConversion"/>
  <conditionalFormatting sqref="A744:A1214">
    <cfRule type="expression" dxfId="9" priority="7">
      <formula>AND($B345&lt;&gt;"", $B345&lt;0.3)</formula>
    </cfRule>
    <cfRule type="expression" dxfId="8" priority="8">
      <formula>AND($B345&lt;&gt;"", $B345&gt;0.9)</formula>
    </cfRule>
  </conditionalFormatting>
  <conditionalFormatting sqref="E2:AA3">
    <cfRule type="expression" dxfId="7" priority="11">
      <formula>AND($B249&lt;&gt;"", $B249&lt;0.3)</formula>
    </cfRule>
    <cfRule type="expression" dxfId="6" priority="12">
      <formula>AND($B249&lt;&gt;"", $B249&gt;0.9)</formula>
    </cfRule>
  </conditionalFormatting>
  <conditionalFormatting sqref="A508:A618">
    <cfRule type="expression" dxfId="5" priority="17">
      <formula>AND($B234&lt;&gt;"", $B234&lt;0.3)</formula>
    </cfRule>
    <cfRule type="expression" dxfId="4" priority="18">
      <formula>AND($B234&lt;&gt;"", $B234&gt;0.9)</formula>
    </cfRule>
  </conditionalFormatting>
  <conditionalFormatting sqref="A619:A743">
    <cfRule type="expression" dxfId="3" priority="21">
      <formula>AND(#REF!&lt;&gt;"", #REF!&lt;0.3)</formula>
    </cfRule>
    <cfRule type="expression" dxfId="2" priority="22">
      <formula>AND(#REF!&lt;&gt;"", #REF!&gt;0.9)</formula>
    </cfRule>
  </conditionalFormatting>
  <conditionalFormatting sqref="A6:U814">
    <cfRule type="expression" dxfId="1" priority="1">
      <formula>AND($B6&lt;&gt;"", $B6&lt;0.3)</formula>
    </cfRule>
    <cfRule type="expression" dxfId="0" priority="4">
      <formula>AND($B6&lt;&gt;"", $B6&gt;0.9)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2024-05-27T08:17:14Z</dcterms:created>
  <dcterms:modified xsi:type="dcterms:W3CDTF">2024-05-27T10:48:52Z</dcterms:modified>
</cp:coreProperties>
</file>